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.okamoto\Dropbox (和から株式会社)\集団講座\セミナー\【数学アート系】セミナー\Excelで学ぶアート数学\Excelで学ぶアート数学-ストリング・アート発展編-\"/>
    </mc:Choice>
  </mc:AlternateContent>
  <xr:revisionPtr revIDLastSave="0" documentId="13_ncr:1_{06F0F4ED-3DAC-4F6B-B318-693451EB30D6}" xr6:coauthVersionLast="45" xr6:coauthVersionMax="45" xr10:uidLastSave="{00000000-0000-0000-0000-000000000000}"/>
  <bookViews>
    <workbookView xWindow="-108" yWindow="-108" windowWidth="23256" windowHeight="12576" activeTab="1" xr2:uid="{17DFA0A4-A2F8-42D5-875B-5434A6C5B8F7}"/>
  </bookViews>
  <sheets>
    <sheet name="演習問題１（円上の糸掛け）" sheetId="1" r:id="rId1"/>
    <sheet name="【解答】演習問題１（円上の糸掛け） " sheetId="8" r:id="rId2"/>
    <sheet name="演習問題２（螺旋）" sheetId="2" r:id="rId3"/>
    <sheet name="演習問題3（エピ・ハイポサイクロイド）" sheetId="4" r:id="rId4"/>
    <sheet name="演習問題4（リサージュ曲線）" sheetId="3" r:id="rId5"/>
    <sheet name="付録（キメラカーブ）" sheetId="7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1" i="8" l="1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C18" i="8"/>
  <c r="D18" i="8"/>
  <c r="C19" i="8"/>
  <c r="D19" i="8"/>
  <c r="C20" i="8"/>
  <c r="D20" i="8"/>
  <c r="C21" i="8"/>
  <c r="D21" i="8"/>
  <c r="C22" i="8"/>
  <c r="D22" i="8"/>
  <c r="C23" i="8"/>
  <c r="D23" i="8"/>
  <c r="C24" i="8"/>
  <c r="D24" i="8"/>
  <c r="C25" i="8"/>
  <c r="D25" i="8"/>
  <c r="C26" i="8"/>
  <c r="D26" i="8"/>
  <c r="C27" i="8"/>
  <c r="D27" i="8"/>
  <c r="C28" i="8"/>
  <c r="D28" i="8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41" i="8"/>
  <c r="D41" i="8"/>
  <c r="C42" i="8"/>
  <c r="D42" i="8"/>
  <c r="C43" i="8"/>
  <c r="D43" i="8"/>
  <c r="C44" i="8"/>
  <c r="D44" i="8"/>
  <c r="C45" i="8"/>
  <c r="D45" i="8"/>
  <c r="C46" i="8"/>
  <c r="D46" i="8"/>
  <c r="C47" i="8"/>
  <c r="D47" i="8"/>
  <c r="C48" i="8"/>
  <c r="D48" i="8"/>
  <c r="C49" i="8"/>
  <c r="D49" i="8"/>
  <c r="C50" i="8"/>
  <c r="D50" i="8"/>
  <c r="C51" i="8"/>
  <c r="D51" i="8"/>
  <c r="C52" i="8"/>
  <c r="D52" i="8"/>
  <c r="C53" i="8"/>
  <c r="D53" i="8"/>
  <c r="C54" i="8"/>
  <c r="D54" i="8"/>
  <c r="C55" i="8"/>
  <c r="D55" i="8"/>
  <c r="C56" i="8"/>
  <c r="D56" i="8"/>
  <c r="C57" i="8"/>
  <c r="D57" i="8"/>
  <c r="C58" i="8"/>
  <c r="D58" i="8"/>
  <c r="C59" i="8"/>
  <c r="D59" i="8"/>
  <c r="C60" i="8"/>
  <c r="D60" i="8"/>
  <c r="C61" i="8"/>
  <c r="D61" i="8"/>
  <c r="C62" i="8"/>
  <c r="D62" i="8"/>
  <c r="C63" i="8"/>
  <c r="D63" i="8"/>
  <c r="C64" i="8"/>
  <c r="D64" i="8"/>
  <c r="C65" i="8"/>
  <c r="D65" i="8"/>
  <c r="C66" i="8"/>
  <c r="D66" i="8"/>
  <c r="C67" i="8"/>
  <c r="D67" i="8"/>
  <c r="C68" i="8"/>
  <c r="D68" i="8"/>
  <c r="C69" i="8"/>
  <c r="D69" i="8"/>
  <c r="C70" i="8"/>
  <c r="D70" i="8"/>
  <c r="C71" i="8"/>
  <c r="D71" i="8"/>
  <c r="C72" i="8"/>
  <c r="D72" i="8"/>
  <c r="C73" i="8"/>
  <c r="D73" i="8"/>
  <c r="C74" i="8"/>
  <c r="D74" i="8"/>
  <c r="C75" i="8"/>
  <c r="D75" i="8"/>
  <c r="C76" i="8"/>
  <c r="D76" i="8"/>
  <c r="C77" i="8"/>
  <c r="D77" i="8"/>
  <c r="C78" i="8"/>
  <c r="D78" i="8"/>
  <c r="C79" i="8"/>
  <c r="D79" i="8"/>
  <c r="C80" i="8"/>
  <c r="D80" i="8"/>
  <c r="C81" i="8"/>
  <c r="D81" i="8"/>
  <c r="C82" i="8"/>
  <c r="D82" i="8"/>
  <c r="C83" i="8"/>
  <c r="D83" i="8"/>
  <c r="C84" i="8"/>
  <c r="D84" i="8"/>
  <c r="C85" i="8"/>
  <c r="D85" i="8"/>
  <c r="C86" i="8"/>
  <c r="D86" i="8"/>
  <c r="C87" i="8"/>
  <c r="D87" i="8"/>
  <c r="C88" i="8"/>
  <c r="D88" i="8"/>
  <c r="C89" i="8"/>
  <c r="D89" i="8"/>
  <c r="C90" i="8"/>
  <c r="D90" i="8"/>
  <c r="C91" i="8"/>
  <c r="D91" i="8"/>
  <c r="C92" i="8"/>
  <c r="D92" i="8"/>
  <c r="C93" i="8"/>
  <c r="D93" i="8"/>
  <c r="C94" i="8"/>
  <c r="D94" i="8"/>
  <c r="C95" i="8"/>
  <c r="D95" i="8"/>
  <c r="C96" i="8"/>
  <c r="D96" i="8"/>
  <c r="C97" i="8"/>
  <c r="D97" i="8"/>
  <c r="C98" i="8"/>
  <c r="D98" i="8"/>
  <c r="C99" i="8"/>
  <c r="D99" i="8"/>
  <c r="C100" i="8"/>
  <c r="D100" i="8"/>
  <c r="C101" i="8"/>
  <c r="D101" i="8"/>
  <c r="C102" i="8"/>
  <c r="D102" i="8"/>
  <c r="C103" i="8"/>
  <c r="D103" i="8"/>
  <c r="C104" i="8"/>
  <c r="D104" i="8"/>
  <c r="C105" i="8"/>
  <c r="D105" i="8"/>
  <c r="C106" i="8"/>
  <c r="D106" i="8"/>
  <c r="C107" i="8"/>
  <c r="D107" i="8"/>
  <c r="C108" i="8"/>
  <c r="D108" i="8"/>
  <c r="C109" i="8"/>
  <c r="D109" i="8"/>
  <c r="C110" i="8"/>
  <c r="D110" i="8"/>
  <c r="D10" i="8"/>
  <c r="C10" i="8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C19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C43" i="7"/>
  <c r="D43" i="7"/>
  <c r="C44" i="7"/>
  <c r="D44" i="7"/>
  <c r="C45" i="7"/>
  <c r="D45" i="7"/>
  <c r="C46" i="7"/>
  <c r="D46" i="7"/>
  <c r="C47" i="7"/>
  <c r="D47" i="7"/>
  <c r="C48" i="7"/>
  <c r="D48" i="7"/>
  <c r="C49" i="7"/>
  <c r="D49" i="7"/>
  <c r="C50" i="7"/>
  <c r="D50" i="7"/>
  <c r="C51" i="7"/>
  <c r="D51" i="7"/>
  <c r="C52" i="7"/>
  <c r="D52" i="7"/>
  <c r="C53" i="7"/>
  <c r="D53" i="7"/>
  <c r="C54" i="7"/>
  <c r="D54" i="7"/>
  <c r="C55" i="7"/>
  <c r="D55" i="7"/>
  <c r="C56" i="7"/>
  <c r="D56" i="7"/>
  <c r="C57" i="7"/>
  <c r="D57" i="7"/>
  <c r="C58" i="7"/>
  <c r="D58" i="7"/>
  <c r="C59" i="7"/>
  <c r="D59" i="7"/>
  <c r="C60" i="7"/>
  <c r="D60" i="7"/>
  <c r="C61" i="7"/>
  <c r="D61" i="7"/>
  <c r="C62" i="7"/>
  <c r="D62" i="7"/>
  <c r="C63" i="7"/>
  <c r="D63" i="7"/>
  <c r="C64" i="7"/>
  <c r="D64" i="7"/>
  <c r="C65" i="7"/>
  <c r="D65" i="7"/>
  <c r="C66" i="7"/>
  <c r="D66" i="7"/>
  <c r="C67" i="7"/>
  <c r="D67" i="7"/>
  <c r="C68" i="7"/>
  <c r="D68" i="7"/>
  <c r="C69" i="7"/>
  <c r="D69" i="7"/>
  <c r="C70" i="7"/>
  <c r="D70" i="7"/>
  <c r="C71" i="7"/>
  <c r="D71" i="7"/>
  <c r="C72" i="7"/>
  <c r="D72" i="7"/>
  <c r="C73" i="7"/>
  <c r="D73" i="7"/>
  <c r="C74" i="7"/>
  <c r="D74" i="7"/>
  <c r="C75" i="7"/>
  <c r="D75" i="7"/>
  <c r="C76" i="7"/>
  <c r="D76" i="7"/>
  <c r="C77" i="7"/>
  <c r="D77" i="7"/>
  <c r="C78" i="7"/>
  <c r="D78" i="7"/>
  <c r="C79" i="7"/>
  <c r="D79" i="7"/>
  <c r="C80" i="7"/>
  <c r="D80" i="7"/>
  <c r="C81" i="7"/>
  <c r="D81" i="7"/>
  <c r="C82" i="7"/>
  <c r="D82" i="7"/>
  <c r="C83" i="7"/>
  <c r="D83" i="7"/>
  <c r="C84" i="7"/>
  <c r="D84" i="7"/>
  <c r="C85" i="7"/>
  <c r="D85" i="7"/>
  <c r="C86" i="7"/>
  <c r="D86" i="7"/>
  <c r="C87" i="7"/>
  <c r="D87" i="7"/>
  <c r="C88" i="7"/>
  <c r="D88" i="7"/>
  <c r="C89" i="7"/>
  <c r="D89" i="7"/>
  <c r="C90" i="7"/>
  <c r="D90" i="7"/>
  <c r="C91" i="7"/>
  <c r="D91" i="7"/>
  <c r="C92" i="7"/>
  <c r="D92" i="7"/>
  <c r="C93" i="7"/>
  <c r="D93" i="7"/>
  <c r="C94" i="7"/>
  <c r="D94" i="7"/>
  <c r="C95" i="7"/>
  <c r="D95" i="7"/>
  <c r="C96" i="7"/>
  <c r="D96" i="7"/>
  <c r="C97" i="7"/>
  <c r="D97" i="7"/>
  <c r="C98" i="7"/>
  <c r="D98" i="7"/>
  <c r="C99" i="7"/>
  <c r="D99" i="7"/>
  <c r="C100" i="7"/>
  <c r="D100" i="7"/>
  <c r="C101" i="7"/>
  <c r="D101" i="7"/>
  <c r="C102" i="7"/>
  <c r="D102" i="7"/>
  <c r="C103" i="7"/>
  <c r="D103" i="7"/>
  <c r="C104" i="7"/>
  <c r="D104" i="7"/>
  <c r="C105" i="7"/>
  <c r="D105" i="7"/>
  <c r="C106" i="7"/>
  <c r="D106" i="7"/>
  <c r="C107" i="7"/>
  <c r="D107" i="7"/>
  <c r="C108" i="7"/>
  <c r="D108" i="7"/>
  <c r="C109" i="7"/>
  <c r="D109" i="7"/>
  <c r="C110" i="7"/>
  <c r="D110" i="7"/>
  <c r="C111" i="7"/>
  <c r="D111" i="7"/>
  <c r="C112" i="7"/>
  <c r="D112" i="7"/>
  <c r="C113" i="7"/>
  <c r="D113" i="7"/>
  <c r="C114" i="7"/>
  <c r="D114" i="7"/>
  <c r="D10" i="7"/>
  <c r="C10" i="7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" i="4"/>
  <c r="I10" i="2"/>
  <c r="K10" i="2"/>
  <c r="E10" i="2"/>
  <c r="D10" i="2"/>
  <c r="C10" i="2"/>
  <c r="J10" i="2" l="1"/>
</calcChain>
</file>

<file path=xl/sharedStrings.xml><?xml version="1.0" encoding="utf-8"?>
<sst xmlns="http://schemas.openxmlformats.org/spreadsheetml/2006/main" count="46" uniqueCount="24">
  <si>
    <t>n</t>
    <phoneticPr fontId="1"/>
  </si>
  <si>
    <t>cos</t>
    <phoneticPr fontId="1"/>
  </si>
  <si>
    <t>sin</t>
    <phoneticPr fontId="1"/>
  </si>
  <si>
    <t>周期</t>
    <rPh sb="0" eb="2">
      <t>シュウキ</t>
    </rPh>
    <phoneticPr fontId="1"/>
  </si>
  <si>
    <t>n</t>
    <phoneticPr fontId="1"/>
  </si>
  <si>
    <t>r</t>
    <phoneticPr fontId="1"/>
  </si>
  <si>
    <t>x</t>
    <phoneticPr fontId="1"/>
  </si>
  <si>
    <t>y</t>
    <phoneticPr fontId="1"/>
  </si>
  <si>
    <t>アルキメデス螺旋</t>
    <rPh sb="6" eb="8">
      <t>ラセン</t>
    </rPh>
    <phoneticPr fontId="1"/>
  </si>
  <si>
    <t>ベルヌーイ螺旋</t>
    <rPh sb="5" eb="7">
      <t>ラセン</t>
    </rPh>
    <phoneticPr fontId="1"/>
  </si>
  <si>
    <t>x</t>
    <phoneticPr fontId="1"/>
  </si>
  <si>
    <t>y</t>
    <phoneticPr fontId="1"/>
  </si>
  <si>
    <t>R</t>
    <phoneticPr fontId="1"/>
  </si>
  <si>
    <t>エピサイクロイド</t>
    <phoneticPr fontId="1"/>
  </si>
  <si>
    <t>ハイポサイクロイド</t>
    <phoneticPr fontId="1"/>
  </si>
  <si>
    <t>a</t>
    <phoneticPr fontId="1"/>
  </si>
  <si>
    <t>b</t>
    <phoneticPr fontId="1"/>
  </si>
  <si>
    <t>N</t>
    <phoneticPr fontId="1"/>
  </si>
  <si>
    <t>R</t>
    <phoneticPr fontId="1"/>
  </si>
  <si>
    <t>r</t>
    <phoneticPr fontId="1"/>
  </si>
  <si>
    <t>d</t>
    <phoneticPr fontId="1"/>
  </si>
  <si>
    <t>N</t>
    <phoneticPr fontId="1"/>
  </si>
  <si>
    <t>a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</si>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</sst>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'【解答】演習問題１（円上の糸掛け） '!$D$9</c:f>
              <c:strCache>
                <c:ptCount val="1"/>
                <c:pt idx="0">
                  <c:v>sin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'【解答】演習問題１（円上の糸掛け） '!$C$10:$C$110</c:f>
              <c:numCache>
                <c:formatCode>General</c:formatCode>
                <c:ptCount val="101"/>
                <c:pt idx="0">
                  <c:v>1</c:v>
                </c:pt>
                <c:pt idx="1">
                  <c:v>-0.36812455268467775</c:v>
                </c:pt>
                <c:pt idx="2">
                  <c:v>-0.72896862742141177</c:v>
                </c:pt>
                <c:pt idx="3">
                  <c:v>0.90482705246601935</c:v>
                </c:pt>
                <c:pt idx="4">
                  <c:v>6.2790519529314207E-2</c:v>
                </c:pt>
                <c:pt idx="5">
                  <c:v>-0.95105651629515364</c:v>
                </c:pt>
                <c:pt idx="6">
                  <c:v>0.63742398974868908</c:v>
                </c:pt>
                <c:pt idx="7">
                  <c:v>0.48175367410171638</c:v>
                </c:pt>
                <c:pt idx="8">
                  <c:v>-0.99211470131447765</c:v>
                </c:pt>
                <c:pt idx="9">
                  <c:v>0.24868988716485446</c:v>
                </c:pt>
                <c:pt idx="10">
                  <c:v>0.8090169943749479</c:v>
                </c:pt>
                <c:pt idx="11">
                  <c:v>-0.84432792550201252</c:v>
                </c:pt>
                <c:pt idx="12">
                  <c:v>-0.18738131458572621</c:v>
                </c:pt>
                <c:pt idx="13">
                  <c:v>0.98228725072868839</c:v>
                </c:pt>
                <c:pt idx="14">
                  <c:v>-0.53582679497899455</c:v>
                </c:pt>
                <c:pt idx="15">
                  <c:v>-0.58778525229247547</c:v>
                </c:pt>
                <c:pt idx="16">
                  <c:v>0.9685831611286303</c:v>
                </c:pt>
                <c:pt idx="17">
                  <c:v>-0.12533323356430401</c:v>
                </c:pt>
                <c:pt idx="18">
                  <c:v>-0.87630668004386392</c:v>
                </c:pt>
                <c:pt idx="19">
                  <c:v>0.77051324277578859</c:v>
                </c:pt>
                <c:pt idx="20">
                  <c:v>0.30901699437494889</c:v>
                </c:pt>
                <c:pt idx="21">
                  <c:v>-0.99802672842827167</c:v>
                </c:pt>
                <c:pt idx="22">
                  <c:v>0.42577929156506406</c:v>
                </c:pt>
                <c:pt idx="23">
                  <c:v>0.68454710592869072</c:v>
                </c:pt>
                <c:pt idx="24">
                  <c:v>-0.92977648588825024</c:v>
                </c:pt>
                <c:pt idx="25">
                  <c:v>-3.6753369445086115E-15</c:v>
                </c:pt>
                <c:pt idx="26">
                  <c:v>0.92977648588825035</c:v>
                </c:pt>
                <c:pt idx="27">
                  <c:v>-0.6845471059286905</c:v>
                </c:pt>
                <c:pt idx="28">
                  <c:v>-0.42577929156507716</c:v>
                </c:pt>
                <c:pt idx="29">
                  <c:v>0.99802672842827167</c:v>
                </c:pt>
                <c:pt idx="30">
                  <c:v>-0.3090169943749419</c:v>
                </c:pt>
                <c:pt idx="31">
                  <c:v>-0.7705132427757887</c:v>
                </c:pt>
                <c:pt idx="32">
                  <c:v>0.87630668004386036</c:v>
                </c:pt>
                <c:pt idx="33">
                  <c:v>0.12533323356430426</c:v>
                </c:pt>
                <c:pt idx="34">
                  <c:v>-0.96858316112863119</c:v>
                </c:pt>
                <c:pt idx="35">
                  <c:v>0.58778525229246092</c:v>
                </c:pt>
                <c:pt idx="36">
                  <c:v>0.53582679497899777</c:v>
                </c:pt>
                <c:pt idx="37">
                  <c:v>-0.98228725072868839</c:v>
                </c:pt>
                <c:pt idx="38">
                  <c:v>0.18738131458572249</c:v>
                </c:pt>
                <c:pt idx="39">
                  <c:v>0.84432792550201652</c:v>
                </c:pt>
                <c:pt idx="40">
                  <c:v>-0.80901699437494567</c:v>
                </c:pt>
                <c:pt idx="41">
                  <c:v>-0.24868988716485815</c:v>
                </c:pt>
                <c:pt idx="42">
                  <c:v>0.99211470131447832</c:v>
                </c:pt>
                <c:pt idx="43">
                  <c:v>-0.48175367410171149</c:v>
                </c:pt>
                <c:pt idx="44">
                  <c:v>-0.63742398974870429</c:v>
                </c:pt>
                <c:pt idx="45">
                  <c:v>0.95105651629515198</c:v>
                </c:pt>
                <c:pt idx="46">
                  <c:v>-6.2790519529307767E-2</c:v>
                </c:pt>
                <c:pt idx="47">
                  <c:v>-0.90482705246601602</c:v>
                </c:pt>
                <c:pt idx="48">
                  <c:v>0.72896862742140711</c:v>
                </c:pt>
                <c:pt idx="49">
                  <c:v>0.36812455268468441</c:v>
                </c:pt>
                <c:pt idx="50">
                  <c:v>-1</c:v>
                </c:pt>
                <c:pt idx="51">
                  <c:v>0.36812455268468391</c:v>
                </c:pt>
                <c:pt idx="52">
                  <c:v>0.72896862742140744</c:v>
                </c:pt>
                <c:pt idx="53">
                  <c:v>-0.9048270524660158</c:v>
                </c:pt>
                <c:pt idx="54">
                  <c:v>-6.2790519529308253E-2</c:v>
                </c:pt>
                <c:pt idx="55">
                  <c:v>0.95105651629515209</c:v>
                </c:pt>
                <c:pt idx="56">
                  <c:v>-0.63742398974868208</c:v>
                </c:pt>
                <c:pt idx="57">
                  <c:v>-0.48175367410172437</c:v>
                </c:pt>
                <c:pt idx="58">
                  <c:v>0.99211470131447821</c:v>
                </c:pt>
                <c:pt idx="59">
                  <c:v>-0.24868988716484391</c:v>
                </c:pt>
                <c:pt idx="60">
                  <c:v>-0.80901699437495433</c:v>
                </c:pt>
                <c:pt idx="61">
                  <c:v>0.84432792550200864</c:v>
                </c:pt>
                <c:pt idx="62">
                  <c:v>0.18738131458572296</c:v>
                </c:pt>
                <c:pt idx="63">
                  <c:v>-0.9822872507286885</c:v>
                </c:pt>
                <c:pt idx="64">
                  <c:v>0.53582679497898533</c:v>
                </c:pt>
                <c:pt idx="65">
                  <c:v>0.5877852522924728</c:v>
                </c:pt>
                <c:pt idx="66">
                  <c:v>-0.96858316112863108</c:v>
                </c:pt>
                <c:pt idx="67">
                  <c:v>0.12533323356428969</c:v>
                </c:pt>
                <c:pt idx="68">
                  <c:v>0.87630668004386403</c:v>
                </c:pt>
                <c:pt idx="69">
                  <c:v>-0.77051324277577937</c:v>
                </c:pt>
                <c:pt idx="70">
                  <c:v>-0.30901699437497615</c:v>
                </c:pt>
                <c:pt idx="71">
                  <c:v>0.99802672842827078</c:v>
                </c:pt>
                <c:pt idx="72">
                  <c:v>-0.42577929156507027</c:v>
                </c:pt>
                <c:pt idx="73">
                  <c:v>-0.68454710592870127</c:v>
                </c:pt>
                <c:pt idx="74">
                  <c:v>0.92977648588825013</c:v>
                </c:pt>
                <c:pt idx="75">
                  <c:v>1.8131438191126836E-14</c:v>
                </c:pt>
                <c:pt idx="76">
                  <c:v>-0.92977648588825301</c:v>
                </c:pt>
                <c:pt idx="77">
                  <c:v>0.6845471059286955</c:v>
                </c:pt>
                <c:pt idx="78">
                  <c:v>0.42577929156507738</c:v>
                </c:pt>
                <c:pt idx="79">
                  <c:v>-0.99802672842827211</c:v>
                </c:pt>
                <c:pt idx="80">
                  <c:v>0.30901699437494162</c:v>
                </c:pt>
                <c:pt idx="81">
                  <c:v>0.77051324277580246</c:v>
                </c:pt>
                <c:pt idx="82">
                  <c:v>-0.87630668004386025</c:v>
                </c:pt>
                <c:pt idx="83">
                  <c:v>-0.12533323356429746</c:v>
                </c:pt>
                <c:pt idx="84">
                  <c:v>0.96858316112863307</c:v>
                </c:pt>
                <c:pt idx="85">
                  <c:v>-0.58778525229245493</c:v>
                </c:pt>
                <c:pt idx="86">
                  <c:v>-0.53582679497900398</c:v>
                </c:pt>
                <c:pt idx="87">
                  <c:v>0.98228725072868428</c:v>
                </c:pt>
                <c:pt idx="88">
                  <c:v>-0.18738131458568735</c:v>
                </c:pt>
                <c:pt idx="89">
                  <c:v>-0.84432792550201285</c:v>
                </c:pt>
                <c:pt idx="90">
                  <c:v>0.80901699437494135</c:v>
                </c:pt>
                <c:pt idx="91">
                  <c:v>0.24868988716485149</c:v>
                </c:pt>
                <c:pt idx="92">
                  <c:v>-0.99211470131447921</c:v>
                </c:pt>
                <c:pt idx="93">
                  <c:v>0.48175367410169256</c:v>
                </c:pt>
                <c:pt idx="94">
                  <c:v>0.6374239897486772</c:v>
                </c:pt>
                <c:pt idx="95">
                  <c:v>-0.95105651629515409</c:v>
                </c:pt>
                <c:pt idx="96">
                  <c:v>6.2790519529300426E-2</c:v>
                </c:pt>
                <c:pt idx="97">
                  <c:v>0.90482705246601913</c:v>
                </c:pt>
                <c:pt idx="98">
                  <c:v>-0.728968627421402</c:v>
                </c:pt>
                <c:pt idx="99">
                  <c:v>-0.36812455268467803</c:v>
                </c:pt>
                <c:pt idx="100">
                  <c:v>1</c:v>
                </c:pt>
              </c:numCache>
            </c:numRef>
          </c:xVal>
          <c:yVal>
            <c:numRef>
              <c:f>'【解答】演習問題１（円上の糸掛け） '!$D$10:$D$110</c:f>
              <c:numCache>
                <c:formatCode>General</c:formatCode>
                <c:ptCount val="101"/>
                <c:pt idx="0">
                  <c:v>0</c:v>
                </c:pt>
                <c:pt idx="1">
                  <c:v>0.92977648588825146</c:v>
                </c:pt>
                <c:pt idx="2">
                  <c:v>-0.68454710592868839</c:v>
                </c:pt>
                <c:pt idx="3">
                  <c:v>-0.42577929156507299</c:v>
                </c:pt>
                <c:pt idx="4">
                  <c:v>0.99802672842827156</c:v>
                </c:pt>
                <c:pt idx="5">
                  <c:v>-0.30901699437494706</c:v>
                </c:pt>
                <c:pt idx="6">
                  <c:v>-0.7705132427757897</c:v>
                </c:pt>
                <c:pt idx="7">
                  <c:v>0.87630668004386303</c:v>
                </c:pt>
                <c:pt idx="8">
                  <c:v>0.1253332335643059</c:v>
                </c:pt>
                <c:pt idx="9">
                  <c:v>-0.96858316112863119</c:v>
                </c:pt>
                <c:pt idx="10">
                  <c:v>0.58778525229247247</c:v>
                </c:pt>
                <c:pt idx="11">
                  <c:v>0.53582679497900065</c:v>
                </c:pt>
                <c:pt idx="12">
                  <c:v>-0.98228725072868839</c:v>
                </c:pt>
                <c:pt idx="13">
                  <c:v>0.1873813145857261</c:v>
                </c:pt>
                <c:pt idx="14">
                  <c:v>0.84432792550201641</c:v>
                </c:pt>
                <c:pt idx="15">
                  <c:v>-0.80901699437494567</c:v>
                </c:pt>
                <c:pt idx="16">
                  <c:v>-0.24868988716485804</c:v>
                </c:pt>
                <c:pt idx="17">
                  <c:v>0.99211470131447788</c:v>
                </c:pt>
                <c:pt idx="18">
                  <c:v>-0.48175367410171471</c:v>
                </c:pt>
                <c:pt idx="19">
                  <c:v>-0.63742398974869052</c:v>
                </c:pt>
                <c:pt idx="20">
                  <c:v>0.95105651629515309</c:v>
                </c:pt>
                <c:pt idx="21">
                  <c:v>-6.2790519529311431E-2</c:v>
                </c:pt>
                <c:pt idx="22">
                  <c:v>-0.90482705246602357</c:v>
                </c:pt>
                <c:pt idx="23">
                  <c:v>0.72896862742140955</c:v>
                </c:pt>
                <c:pt idx="24">
                  <c:v>0.36812455268468097</c:v>
                </c:pt>
                <c:pt idx="25">
                  <c:v>-1</c:v>
                </c:pt>
                <c:pt idx="26">
                  <c:v>0.36812455268468075</c:v>
                </c:pt>
                <c:pt idx="27">
                  <c:v>0.72896862742140978</c:v>
                </c:pt>
                <c:pt idx="28">
                  <c:v>-0.90482705246601747</c:v>
                </c:pt>
                <c:pt idx="29">
                  <c:v>-6.2790519529311681E-2</c:v>
                </c:pt>
                <c:pt idx="30">
                  <c:v>0.95105651629515542</c:v>
                </c:pt>
                <c:pt idx="31">
                  <c:v>-0.63742398974869041</c:v>
                </c:pt>
                <c:pt idx="32">
                  <c:v>-0.48175367410172115</c:v>
                </c:pt>
                <c:pt idx="33">
                  <c:v>0.99211470131447788</c:v>
                </c:pt>
                <c:pt idx="34">
                  <c:v>-0.24868988716485435</c:v>
                </c:pt>
                <c:pt idx="35">
                  <c:v>-0.80901699437495633</c:v>
                </c:pt>
                <c:pt idx="36">
                  <c:v>0.84432792550201441</c:v>
                </c:pt>
                <c:pt idx="37">
                  <c:v>0.18738131458572635</c:v>
                </c:pt>
                <c:pt idx="38">
                  <c:v>-0.98228725072868905</c:v>
                </c:pt>
                <c:pt idx="39">
                  <c:v>0.53582679497899444</c:v>
                </c:pt>
                <c:pt idx="40">
                  <c:v>0.58778525229247558</c:v>
                </c:pt>
                <c:pt idx="41">
                  <c:v>-0.9685831611286303</c:v>
                </c:pt>
                <c:pt idx="42">
                  <c:v>0.12533323356430037</c:v>
                </c:pt>
                <c:pt idx="43">
                  <c:v>0.87630668004386569</c:v>
                </c:pt>
                <c:pt idx="44">
                  <c:v>-0.77051324277577715</c:v>
                </c:pt>
                <c:pt idx="45">
                  <c:v>-0.30901699437495239</c:v>
                </c:pt>
                <c:pt idx="46">
                  <c:v>0.99802672842827189</c:v>
                </c:pt>
                <c:pt idx="47">
                  <c:v>-0.42577929156508004</c:v>
                </c:pt>
                <c:pt idx="48">
                  <c:v>-0.68454710592869339</c:v>
                </c:pt>
                <c:pt idx="49">
                  <c:v>0.9297764858882489</c:v>
                </c:pt>
                <c:pt idx="50">
                  <c:v>7.350673889017223E-15</c:v>
                </c:pt>
                <c:pt idx="51">
                  <c:v>-0.92977648588824902</c:v>
                </c:pt>
                <c:pt idx="52">
                  <c:v>0.68454710592869306</c:v>
                </c:pt>
                <c:pt idx="53">
                  <c:v>0.42577929156508049</c:v>
                </c:pt>
                <c:pt idx="54">
                  <c:v>-0.99802672842827189</c:v>
                </c:pt>
                <c:pt idx="55">
                  <c:v>0.30901699437495189</c:v>
                </c:pt>
                <c:pt idx="56">
                  <c:v>0.77051324277579558</c:v>
                </c:pt>
                <c:pt idx="57">
                  <c:v>-0.87630668004385859</c:v>
                </c:pt>
                <c:pt idx="58">
                  <c:v>-0.12533323356430087</c:v>
                </c:pt>
                <c:pt idx="59">
                  <c:v>0.96858316112863396</c:v>
                </c:pt>
                <c:pt idx="60">
                  <c:v>-0.5877852522924637</c:v>
                </c:pt>
                <c:pt idx="61">
                  <c:v>-0.53582679497900687</c:v>
                </c:pt>
                <c:pt idx="62">
                  <c:v>0.98228725072868894</c:v>
                </c:pt>
                <c:pt idx="63">
                  <c:v>-0.18738131458572585</c:v>
                </c:pt>
                <c:pt idx="64">
                  <c:v>-0.84432792550202229</c:v>
                </c:pt>
                <c:pt idx="65">
                  <c:v>0.80901699437494767</c:v>
                </c:pt>
                <c:pt idx="66">
                  <c:v>0.24868988716485482</c:v>
                </c:pt>
                <c:pt idx="67">
                  <c:v>-0.99211470131447965</c:v>
                </c:pt>
                <c:pt idx="68">
                  <c:v>0.48175367410171449</c:v>
                </c:pt>
                <c:pt idx="69">
                  <c:v>0.63742398974870174</c:v>
                </c:pt>
                <c:pt idx="70">
                  <c:v>-0.95105651629514421</c:v>
                </c:pt>
                <c:pt idx="71">
                  <c:v>6.2790519529325364E-2</c:v>
                </c:pt>
                <c:pt idx="72">
                  <c:v>0.90482705246602069</c:v>
                </c:pt>
                <c:pt idx="73">
                  <c:v>-0.72896862742139967</c:v>
                </c:pt>
                <c:pt idx="74">
                  <c:v>-0.36812455268468119</c:v>
                </c:pt>
                <c:pt idx="75">
                  <c:v>1</c:v>
                </c:pt>
                <c:pt idx="76">
                  <c:v>-0.36812455268467392</c:v>
                </c:pt>
                <c:pt idx="77">
                  <c:v>-0.72896862742140511</c:v>
                </c:pt>
                <c:pt idx="78">
                  <c:v>0.90482705246601736</c:v>
                </c:pt>
                <c:pt idx="79">
                  <c:v>6.2790519529304825E-2</c:v>
                </c:pt>
                <c:pt idx="80">
                  <c:v>-0.95105651629515542</c:v>
                </c:pt>
                <c:pt idx="81">
                  <c:v>0.63742398974867376</c:v>
                </c:pt>
                <c:pt idx="82">
                  <c:v>0.48175367410172137</c:v>
                </c:pt>
                <c:pt idx="83">
                  <c:v>-0.99211470131447865</c:v>
                </c:pt>
                <c:pt idx="84">
                  <c:v>0.24868988716484725</c:v>
                </c:pt>
                <c:pt idx="85">
                  <c:v>0.80901699437496066</c:v>
                </c:pt>
                <c:pt idx="86">
                  <c:v>-0.84432792550201041</c:v>
                </c:pt>
                <c:pt idx="87">
                  <c:v>-0.18738131458574753</c:v>
                </c:pt>
                <c:pt idx="88">
                  <c:v>0.98228725072869583</c:v>
                </c:pt>
                <c:pt idx="89">
                  <c:v>-0.53582679497900021</c:v>
                </c:pt>
                <c:pt idx="90">
                  <c:v>-0.58778525229248157</c:v>
                </c:pt>
                <c:pt idx="91">
                  <c:v>0.96858316112863196</c:v>
                </c:pt>
                <c:pt idx="92">
                  <c:v>-0.12533323356429307</c:v>
                </c:pt>
                <c:pt idx="93">
                  <c:v>-0.87630668004387602</c:v>
                </c:pt>
                <c:pt idx="94">
                  <c:v>0.77051324277579958</c:v>
                </c:pt>
                <c:pt idx="95">
                  <c:v>0.30901699437494584</c:v>
                </c:pt>
                <c:pt idx="96">
                  <c:v>-0.99802672842827234</c:v>
                </c:pt>
                <c:pt idx="97">
                  <c:v>0.42577929156507338</c:v>
                </c:pt>
                <c:pt idx="98">
                  <c:v>0.68454710592869872</c:v>
                </c:pt>
                <c:pt idx="99">
                  <c:v>-0.92977648588825135</c:v>
                </c:pt>
                <c:pt idx="100">
                  <c:v>-1.4701347778034446E-14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9-42B8-9006-E0DDD5A94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4619536"/>
        <c:axId val="784622816"/>
      </c:scatterChart>
      <c:valAx>
        <c:axId val="78461953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84622816"/>
        <c:crosses val="autoZero"/>
        <c:crossBetween val="midCat"/>
      </c:valAx>
      <c:valAx>
        <c:axId val="784622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8461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407670</xdr:colOff>
      <xdr:row>6</xdr:row>
      <xdr:rowOff>22860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BB1BE9A2-EB28-4804-A132-672AAED92675}"/>
            </a:ext>
          </a:extLst>
        </xdr:cNvPr>
        <xdr:cNvSpPr/>
      </xdr:nvSpPr>
      <xdr:spPr>
        <a:xfrm>
          <a:off x="670560" y="228600"/>
          <a:ext cx="64427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99060</xdr:colOff>
      <xdr:row>1</xdr:row>
      <xdr:rowOff>60960</xdr:rowOff>
    </xdr:from>
    <xdr:to>
      <xdr:col>10</xdr:col>
      <xdr:colOff>259080</xdr:colOff>
      <xdr:row>5</xdr:row>
      <xdr:rowOff>198120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CFFAC7F9-45A4-471D-A696-176606E4A697}"/>
            </a:ext>
          </a:extLst>
        </xdr:cNvPr>
        <xdr:cNvSpPr txBox="1"/>
      </xdr:nvSpPr>
      <xdr:spPr>
        <a:xfrm>
          <a:off x="769620" y="289560"/>
          <a:ext cx="619506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演習問題１</a:t>
          </a:r>
          <a:endParaRPr kumimoji="1" lang="en-US" altLang="ja-JP" sz="1100" b="1"/>
        </a:p>
        <a:p>
          <a:r>
            <a:rPr kumimoji="1" lang="ja-JP" altLang="en-US" sz="1100"/>
            <a:t>（１）散布図を使って円を描きましょう（正</a:t>
          </a:r>
          <a:r>
            <a:rPr kumimoji="1" lang="en-US" altLang="ja-JP" sz="1100"/>
            <a:t>100</a:t>
          </a:r>
          <a:r>
            <a:rPr kumimoji="1" lang="ja-JP" altLang="en-US" sz="1100"/>
            <a:t>角形を作成しましょう）。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（２）周期を入れて糸掛けを行いましょう。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106680</xdr:colOff>
      <xdr:row>11</xdr:row>
      <xdr:rowOff>83820</xdr:rowOff>
    </xdr:from>
    <xdr:to>
      <xdr:col>7</xdr:col>
      <xdr:colOff>563880</xdr:colOff>
      <xdr:row>18</xdr:row>
      <xdr:rowOff>198120</xdr:rowOff>
    </xdr:to>
    <xdr:sp macro="" textlink="">
      <xdr:nvSpPr>
        <xdr:cNvPr id="7" name="吹き出し: 四角形 6">
          <a:extLst>
            <a:ext uri="{FF2B5EF4-FFF2-40B4-BE49-F238E27FC236}">
              <a16:creationId xmlns:a16="http://schemas.microsoft.com/office/drawing/2014/main" id="{8F44A24A-93D4-4B84-87E7-47A91134104C}"/>
            </a:ext>
          </a:extLst>
        </xdr:cNvPr>
        <xdr:cNvSpPr/>
      </xdr:nvSpPr>
      <xdr:spPr>
        <a:xfrm>
          <a:off x="2788920" y="2613660"/>
          <a:ext cx="2468880" cy="1714500"/>
        </a:xfrm>
        <a:prstGeom prst="wedgeRectCallout">
          <a:avLst>
            <a:gd name="adj1" fmla="val -59105"/>
            <a:gd name="adj2" fmla="val -70833"/>
          </a:avLst>
        </a:prstGeom>
        <a:solidFill>
          <a:schemeClr val="bg1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10</xdr:col>
      <xdr:colOff>407670</xdr:colOff>
      <xdr:row>6</xdr:row>
      <xdr:rowOff>22860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7705EC58-553B-4EFA-834F-38190019994B}"/>
            </a:ext>
          </a:extLst>
        </xdr:cNvPr>
        <xdr:cNvSpPr/>
      </xdr:nvSpPr>
      <xdr:spPr>
        <a:xfrm>
          <a:off x="670560" y="228600"/>
          <a:ext cx="64427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99060</xdr:colOff>
      <xdr:row>1</xdr:row>
      <xdr:rowOff>60960</xdr:rowOff>
    </xdr:from>
    <xdr:to>
      <xdr:col>10</xdr:col>
      <xdr:colOff>259080</xdr:colOff>
      <xdr:row>5</xdr:row>
      <xdr:rowOff>198120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F9F9FAA-71EB-4F0F-9D81-F57C789985DE}"/>
            </a:ext>
          </a:extLst>
        </xdr:cNvPr>
        <xdr:cNvSpPr txBox="1"/>
      </xdr:nvSpPr>
      <xdr:spPr>
        <a:xfrm>
          <a:off x="769620" y="289560"/>
          <a:ext cx="619506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演習問題１</a:t>
          </a:r>
          <a:endParaRPr kumimoji="1" lang="en-US" altLang="ja-JP" sz="1100" b="1"/>
        </a:p>
        <a:p>
          <a:r>
            <a:rPr kumimoji="1" lang="ja-JP" altLang="en-US" sz="1100"/>
            <a:t>（１）散布図を使って円を描きましょう（正</a:t>
          </a:r>
          <a:r>
            <a:rPr kumimoji="1" lang="en-US" altLang="ja-JP" sz="1100"/>
            <a:t>100</a:t>
          </a:r>
          <a:r>
            <a:rPr kumimoji="1" lang="ja-JP" altLang="en-US" sz="1100"/>
            <a:t>角形を作成しましょう）。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（２）周期を入れて糸掛けを行いましょう。</a:t>
          </a:r>
        </a:p>
      </xdr:txBody>
    </xdr:sp>
    <xdr:clientData/>
  </xdr:twoCellAnchor>
  <xdr:twoCellAnchor>
    <xdr:from>
      <xdr:col>9</xdr:col>
      <xdr:colOff>3810</xdr:colOff>
      <xdr:row>9</xdr:row>
      <xdr:rowOff>7620</xdr:rowOff>
    </xdr:from>
    <xdr:to>
      <xdr:col>14</xdr:col>
      <xdr:colOff>251010</xdr:colOff>
      <xdr:row>24</xdr:row>
      <xdr:rowOff>178620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AC2DDA-9EBB-4BAB-9130-845FE28C54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541020</xdr:colOff>
      <xdr:row>9</xdr:row>
      <xdr:rowOff>7620</xdr:rowOff>
    </xdr:from>
    <xdr:to>
      <xdr:col>7</xdr:col>
      <xdr:colOff>632460</xdr:colOff>
      <xdr:row>10</xdr:row>
      <xdr:rowOff>38100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D6080B03-8634-4A6C-B3DB-4C5F290F0A58}"/>
            </a:ext>
          </a:extLst>
        </xdr:cNvPr>
        <xdr:cNvSpPr txBox="1"/>
      </xdr:nvSpPr>
      <xdr:spPr>
        <a:xfrm>
          <a:off x="3223260" y="2080260"/>
          <a:ext cx="2103120" cy="259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←関数を入力し、コピー。</a:t>
          </a:r>
        </a:p>
      </xdr:txBody>
    </xdr:sp>
    <xdr:clientData/>
  </xdr:twoCellAnchor>
  <xdr:twoCellAnchor>
    <xdr:from>
      <xdr:col>4</xdr:col>
      <xdr:colOff>373380</xdr:colOff>
      <xdr:row>12</xdr:row>
      <xdr:rowOff>0</xdr:rowOff>
    </xdr:from>
    <xdr:to>
      <xdr:col>7</xdr:col>
      <xdr:colOff>464820</xdr:colOff>
      <xdr:row>18</xdr:row>
      <xdr:rowOff>129540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1ACDB0E8-6302-463C-AD3C-D77051E69B8B}"/>
            </a:ext>
          </a:extLst>
        </xdr:cNvPr>
        <xdr:cNvSpPr txBox="1"/>
      </xdr:nvSpPr>
      <xdr:spPr>
        <a:xfrm>
          <a:off x="3055620" y="2758440"/>
          <a:ext cx="2103120" cy="15011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 b="1">
              <a:solidFill>
                <a:srgbClr val="FF0000"/>
              </a:solidFill>
            </a:rPr>
            <a:t>【</a:t>
          </a:r>
          <a:r>
            <a:rPr kumimoji="1" lang="ja-JP" altLang="en-US" sz="1100" b="1">
              <a:solidFill>
                <a:srgbClr val="FF0000"/>
              </a:solidFill>
            </a:rPr>
            <a:t>周期なしの場合</a:t>
          </a:r>
          <a:r>
            <a:rPr kumimoji="1" lang="en-US" altLang="ja-JP" sz="1100" b="1">
              <a:solidFill>
                <a:srgbClr val="FF0000"/>
              </a:solidFill>
            </a:rPr>
            <a:t>】</a:t>
          </a:r>
        </a:p>
        <a:p>
          <a:r>
            <a:rPr kumimoji="1" lang="en-US" altLang="ja-JP" sz="1100" b="1">
              <a:solidFill>
                <a:srgbClr val="FF0000"/>
              </a:solidFill>
            </a:rPr>
            <a:t>=COS(2*PI()*B10/100)</a:t>
          </a:r>
        </a:p>
        <a:p>
          <a:r>
            <a:rPr kumimoji="1" lang="en-US" altLang="ja-JP" sz="1100" b="1">
              <a:solidFill>
                <a:srgbClr val="FF0000"/>
              </a:solidFill>
            </a:rPr>
            <a:t>=SIN(2*PI()*B10/100)</a:t>
          </a:r>
        </a:p>
        <a:p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en-US" altLang="ja-JP" sz="1100" b="1">
              <a:solidFill>
                <a:srgbClr val="FF0000"/>
              </a:solidFill>
            </a:rPr>
            <a:t>【</a:t>
          </a:r>
          <a:r>
            <a:rPr kumimoji="1" lang="ja-JP" altLang="en-US" sz="1100" b="1">
              <a:solidFill>
                <a:srgbClr val="FF0000"/>
              </a:solidFill>
            </a:rPr>
            <a:t>周期ありの場合</a:t>
          </a:r>
          <a:r>
            <a:rPr kumimoji="1" lang="en-US" altLang="ja-JP" sz="1100" b="1">
              <a:solidFill>
                <a:srgbClr val="FF0000"/>
              </a:solidFill>
            </a:rPr>
            <a:t>】</a:t>
          </a:r>
        </a:p>
        <a:p>
          <a:r>
            <a:rPr kumimoji="1" lang="en-US" altLang="ja-JP" sz="1100" b="1">
              <a:solidFill>
                <a:srgbClr val="FF0000"/>
              </a:solidFill>
            </a:rPr>
            <a:t>=COS(2*PI()*B10*$G$9/100)</a:t>
          </a:r>
        </a:p>
        <a:p>
          <a:r>
            <a:rPr kumimoji="1" lang="en-US" altLang="ja-JP" sz="1100" b="1">
              <a:solidFill>
                <a:srgbClr val="FF0000"/>
              </a:solidFill>
            </a:rPr>
            <a:t>=SIN(2*PI()*B10*$G$9/100)</a:t>
          </a:r>
        </a:p>
        <a:p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617220</xdr:colOff>
      <xdr:row>8</xdr:row>
      <xdr:rowOff>213360</xdr:rowOff>
    </xdr:from>
    <xdr:to>
      <xdr:col>4</xdr:col>
      <xdr:colOff>30480</xdr:colOff>
      <xdr:row>10</xdr:row>
      <xdr:rowOff>38100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E9AFB2E8-D8C2-4801-A738-1FA7B6253ABF}"/>
            </a:ext>
          </a:extLst>
        </xdr:cNvPr>
        <xdr:cNvSpPr/>
      </xdr:nvSpPr>
      <xdr:spPr>
        <a:xfrm>
          <a:off x="1287780" y="2049780"/>
          <a:ext cx="1424940" cy="28956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407670</xdr:colOff>
      <xdr:row>6</xdr:row>
      <xdr:rowOff>22860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5ED4508-46E5-47DD-9688-D5D961F1CFF5}"/>
            </a:ext>
          </a:extLst>
        </xdr:cNvPr>
        <xdr:cNvSpPr/>
      </xdr:nvSpPr>
      <xdr:spPr>
        <a:xfrm>
          <a:off x="670560" y="228600"/>
          <a:ext cx="64427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99060</xdr:colOff>
      <xdr:row>1</xdr:row>
      <xdr:rowOff>60960</xdr:rowOff>
    </xdr:from>
    <xdr:to>
      <xdr:col>10</xdr:col>
      <xdr:colOff>259080</xdr:colOff>
      <xdr:row>5</xdr:row>
      <xdr:rowOff>198120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A16F83C-6F4E-4A38-8503-73DD88014E56}"/>
            </a:ext>
          </a:extLst>
        </xdr:cNvPr>
        <xdr:cNvSpPr txBox="1"/>
      </xdr:nvSpPr>
      <xdr:spPr>
        <a:xfrm>
          <a:off x="769620" y="289560"/>
          <a:ext cx="619506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演習問題２</a:t>
          </a:r>
          <a:endParaRPr kumimoji="1" lang="en-US" altLang="ja-JP" sz="1100" b="1"/>
        </a:p>
        <a:p>
          <a:r>
            <a:rPr kumimoji="1" lang="ja-JP" altLang="en-US" sz="1100"/>
            <a:t>（１）アルキメデス螺旋を描いてみましょう。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（２）ベルヌーイ螺旋を描いてみましょう。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1</xdr:row>
      <xdr:rowOff>30480</xdr:rowOff>
    </xdr:from>
    <xdr:to>
      <xdr:col>10</xdr:col>
      <xdr:colOff>430530</xdr:colOff>
      <xdr:row>6</xdr:row>
      <xdr:rowOff>53340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BED98178-6942-4578-8312-882B5076108D}"/>
            </a:ext>
          </a:extLst>
        </xdr:cNvPr>
        <xdr:cNvSpPr/>
      </xdr:nvSpPr>
      <xdr:spPr>
        <a:xfrm>
          <a:off x="693420" y="259080"/>
          <a:ext cx="64427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99060</xdr:colOff>
      <xdr:row>1</xdr:row>
      <xdr:rowOff>60960</xdr:rowOff>
    </xdr:from>
    <xdr:to>
      <xdr:col>10</xdr:col>
      <xdr:colOff>259080</xdr:colOff>
      <xdr:row>5</xdr:row>
      <xdr:rowOff>198120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E226898D-7575-43B1-840F-0036B4A5D7B8}"/>
            </a:ext>
          </a:extLst>
        </xdr:cNvPr>
        <xdr:cNvSpPr txBox="1"/>
      </xdr:nvSpPr>
      <xdr:spPr>
        <a:xfrm>
          <a:off x="769620" y="289560"/>
          <a:ext cx="619506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演習問題３</a:t>
          </a:r>
          <a:endParaRPr kumimoji="1" lang="en-US" altLang="ja-JP" sz="1100" b="1"/>
        </a:p>
        <a:p>
          <a:r>
            <a:rPr kumimoji="1" lang="ja-JP" altLang="en-US" sz="1100"/>
            <a:t>（１）ハイポサイクロイドを調節してさまざまな曲線を描いてみよう。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</a:t>
          </a:r>
          <a:r>
            <a:rPr kumimoji="1" lang="en-US" altLang="ja-JP" sz="1100"/>
            <a:t>r=1,</a:t>
          </a:r>
          <a:r>
            <a:rPr kumimoji="1" lang="en-US" altLang="ja-JP" sz="1100" baseline="0"/>
            <a:t> R=2</a:t>
          </a:r>
          <a:r>
            <a:rPr kumimoji="1" lang="ja-JP" altLang="en-US" sz="1100" baseline="0"/>
            <a:t>の場合を描いてみよう。</a:t>
          </a:r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407670</xdr:colOff>
      <xdr:row>6</xdr:row>
      <xdr:rowOff>22860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993066-2CC2-4FC0-AD05-E6A77CEED333}"/>
            </a:ext>
          </a:extLst>
        </xdr:cNvPr>
        <xdr:cNvSpPr/>
      </xdr:nvSpPr>
      <xdr:spPr>
        <a:xfrm>
          <a:off x="670560" y="228600"/>
          <a:ext cx="64427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99060</xdr:colOff>
      <xdr:row>1</xdr:row>
      <xdr:rowOff>60960</xdr:rowOff>
    </xdr:from>
    <xdr:to>
      <xdr:col>10</xdr:col>
      <xdr:colOff>259080</xdr:colOff>
      <xdr:row>5</xdr:row>
      <xdr:rowOff>198120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161F0C01-0614-48CE-93F9-7B913F6768AF}"/>
            </a:ext>
          </a:extLst>
        </xdr:cNvPr>
        <xdr:cNvSpPr txBox="1"/>
      </xdr:nvSpPr>
      <xdr:spPr>
        <a:xfrm>
          <a:off x="769620" y="289560"/>
          <a:ext cx="619506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演習問題４</a:t>
          </a:r>
          <a:endParaRPr kumimoji="1" lang="en-US" altLang="ja-JP" sz="1100" b="1"/>
        </a:p>
        <a:p>
          <a:r>
            <a:rPr kumimoji="1" lang="ja-JP" altLang="en-US" sz="1100"/>
            <a:t>（１）周期</a:t>
          </a:r>
          <a:r>
            <a:rPr kumimoji="1" lang="en-US" altLang="ja-JP" sz="1100"/>
            <a:t>(3,2)</a:t>
          </a:r>
          <a:r>
            <a:rPr kumimoji="1" lang="ja-JP" altLang="en-US" sz="1100"/>
            <a:t>のリサージュ曲線を描いてみよう。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（２）周期を入れて糸掛けを行いましょう。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407670</xdr:colOff>
      <xdr:row>6</xdr:row>
      <xdr:rowOff>22860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24034AE-967B-4DAC-943B-BF03B8B28288}"/>
            </a:ext>
          </a:extLst>
        </xdr:cNvPr>
        <xdr:cNvSpPr/>
      </xdr:nvSpPr>
      <xdr:spPr>
        <a:xfrm>
          <a:off x="670560" y="228600"/>
          <a:ext cx="64427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99060</xdr:colOff>
      <xdr:row>1</xdr:row>
      <xdr:rowOff>60960</xdr:rowOff>
    </xdr:from>
    <xdr:to>
      <xdr:col>10</xdr:col>
      <xdr:colOff>259080</xdr:colOff>
      <xdr:row>5</xdr:row>
      <xdr:rowOff>198120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11EF736-135A-46B3-93A7-CD22DB26FD5B}"/>
            </a:ext>
          </a:extLst>
        </xdr:cNvPr>
        <xdr:cNvSpPr txBox="1"/>
      </xdr:nvSpPr>
      <xdr:spPr>
        <a:xfrm>
          <a:off x="769620" y="289560"/>
          <a:ext cx="619506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付録（ハイポサイクロイド＋トロコイド＋リサージュ＋周期）</a:t>
          </a:r>
          <a:endParaRPr kumimoji="1" lang="en-US" altLang="ja-JP" sz="1100" b="1"/>
        </a:p>
        <a:p>
          <a:r>
            <a:rPr kumimoji="1" lang="ja-JP" altLang="en-US" sz="1100"/>
            <a:t>（１）散布図で図を描いてみましょう。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（２）パラメータを調節して形を変えてみましょう。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.okamoto/Documents/&#26032;&#35611;&#24231;&#12501;&#12457;&#12523;&#12480;/&#20999;&#12426;&#32117;&#36229;&#20837;&#38272;/&#25968;&#23398;&#12450;&#12540;&#12488;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サークル"/>
      <sheetName val="ランダムサークル"/>
      <sheetName val="ランダムサークル２"/>
      <sheetName val="ランダムサークル３"/>
      <sheetName val="Sheet3"/>
      <sheetName val="多重ランダムサークル"/>
      <sheetName val="ランダム螺旋"/>
      <sheetName val="ランダムウォーク"/>
      <sheetName val="曼荼羅"/>
      <sheetName val="素数曼荼羅"/>
      <sheetName val="フルカーブ (2)"/>
      <sheetName val="フルカーブ"/>
      <sheetName val="リサージュ曲線"/>
      <sheetName val="ランダムリサージュ"/>
      <sheetName val="周期リサージュ (2)"/>
      <sheetName val="周期リサージュ"/>
      <sheetName val="カージオイド"/>
      <sheetName val="ランダムカージオイド"/>
      <sheetName val="周期カージオイド"/>
      <sheetName val="周期対数螺旋"/>
      <sheetName val="Sheet1"/>
      <sheetName val="ＤＣ"/>
      <sheetName val="ＲＤ"/>
      <sheetName val="ＳＧ"/>
      <sheetName val="曼荼羅 (１)"/>
      <sheetName val="ひまわりシミュレーション"/>
      <sheetName val="Sheet9"/>
      <sheetName val="Sheet11"/>
      <sheetName val="黄金角"/>
      <sheetName val="2重円ストリング"/>
      <sheetName val="互いに素である確率"/>
      <sheetName val="アトラクタ"/>
      <sheetName val="メビウスの帯"/>
      <sheetName val="周期的R"/>
      <sheetName val="レヴィC曲線"/>
      <sheetName val="ドラゴン曲線＆レヴィ曲線"/>
      <sheetName val="カオス"/>
      <sheetName val="Sheet5"/>
      <sheetName val="Sheet6"/>
      <sheetName val="Sheet7"/>
      <sheetName val="Sheet2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">
          <cell r="C2" t="str">
            <v>y</v>
          </cell>
        </row>
        <row r="3">
          <cell r="B3">
            <v>3</v>
          </cell>
          <cell r="C3">
            <v>0</v>
          </cell>
        </row>
        <row r="4">
          <cell r="B4">
            <v>-0.18837155858794019</v>
          </cell>
          <cell r="C4">
            <v>0.27682125106910815</v>
          </cell>
        </row>
        <row r="5">
          <cell r="B5">
            <v>-2.9763441039434335</v>
          </cell>
          <cell r="C5">
            <v>-1.8392412678930732</v>
          </cell>
        </row>
        <row r="6">
          <cell r="B6">
            <v>0.56214394375717536</v>
          </cell>
          <cell r="C6">
            <v>2.7349006108164158</v>
          </cell>
        </row>
        <row r="7">
          <cell r="B7">
            <v>2.9057494833858932</v>
          </cell>
          <cell r="C7">
            <v>-0.98493899253420936</v>
          </cell>
        </row>
        <row r="8">
          <cell r="B8">
            <v>-0.92705098312484135</v>
          </cell>
          <cell r="C8">
            <v>-1.5690905050450494</v>
          </cell>
        </row>
        <row r="9">
          <cell r="B9">
            <v>-2.7893294576647532</v>
          </cell>
          <cell r="C9">
            <v>2.0567804036887094</v>
          </cell>
        </row>
        <row r="10">
          <cell r="B10">
            <v>1.2773378746952244</v>
          </cell>
          <cell r="C10">
            <v>-1.0794023501629368</v>
          </cell>
        </row>
        <row r="11">
          <cell r="B11">
            <v>2.6289200401315904</v>
          </cell>
          <cell r="C11">
            <v>0.8873405377556598</v>
          </cell>
        </row>
        <row r="12">
          <cell r="B12">
            <v>-1.6074803849369892</v>
          </cell>
          <cell r="C12">
            <v>-0.96990896456063957</v>
          </cell>
        </row>
        <row r="13">
          <cell r="B13">
            <v>-2.4270509831248432</v>
          </cell>
          <cell r="C13">
            <v>-0.58778525229247525</v>
          </cell>
        </row>
        <row r="14">
          <cell r="B14">
            <v>1.912271969246071</v>
          </cell>
          <cell r="C14">
            <v>2.707679565033053</v>
          </cell>
        </row>
        <row r="15">
          <cell r="B15">
            <v>2.1869058822642304</v>
          </cell>
          <cell r="C15">
            <v>-2.4942012108607288</v>
          </cell>
        </row>
        <row r="16">
          <cell r="B16">
            <v>-2.1869058822642344</v>
          </cell>
          <cell r="C16">
            <v>0.16701147720144982</v>
          </cell>
        </row>
        <row r="17">
          <cell r="B17">
            <v>-1.9122719692460579</v>
          </cell>
          <cell r="C17">
            <v>1.2678930171055085</v>
          </cell>
        </row>
        <row r="18">
          <cell r="B18">
            <v>2.4270509831248468</v>
          </cell>
          <cell r="C18">
            <v>-1.0302487364574233</v>
          </cell>
        </row>
        <row r="19">
          <cell r="B19">
            <v>1.607480384936989</v>
          </cell>
          <cell r="C19">
            <v>1.1517255313545274</v>
          </cell>
        </row>
        <row r="20">
          <cell r="B20">
            <v>-2.6289200401315935</v>
          </cell>
          <cell r="C20">
            <v>-1.9396909289445281</v>
          </cell>
        </row>
        <row r="21">
          <cell r="B21">
            <v>-1.2773378746952191</v>
          </cell>
          <cell r="C21">
            <v>1.155493519594623</v>
          </cell>
        </row>
        <row r="22">
          <cell r="B22">
            <v>2.7893294576647554</v>
          </cell>
          <cell r="C22">
            <v>1.4397781426426799</v>
          </cell>
        </row>
        <row r="23">
          <cell r="B23">
            <v>0.92705098312484591</v>
          </cell>
          <cell r="C23">
            <v>-2.8531695488854618</v>
          </cell>
        </row>
        <row r="24">
          <cell r="B24">
            <v>-2.9057494833858963</v>
          </cell>
          <cell r="C24">
            <v>1.610863084611653</v>
          </cell>
        </row>
        <row r="25">
          <cell r="B25">
            <v>-0.56214394375716958</v>
          </cell>
          <cell r="C25">
            <v>1.8779902525273284E-2</v>
          </cell>
        </row>
        <row r="26">
          <cell r="B26">
            <v>2.9763441039434362</v>
          </cell>
          <cell r="C26">
            <v>-0.24942939560716051</v>
          </cell>
        </row>
        <row r="27">
          <cell r="B27">
            <v>0.18837155858792767</v>
          </cell>
          <cell r="C27">
            <v>0.54299975712330784</v>
          </cell>
        </row>
        <row r="28">
          <cell r="B28">
            <v>-3</v>
          </cell>
          <cell r="C28">
            <v>-1.999999999999998</v>
          </cell>
        </row>
        <row r="29">
          <cell r="B29">
            <v>0.18837155858793941</v>
          </cell>
          <cell r="C29">
            <v>2.5390532139798405</v>
          </cell>
        </row>
        <row r="30">
          <cell r="B30">
            <v>2.9763441039434344</v>
          </cell>
          <cell r="C30">
            <v>-0.50009586273574391</v>
          </cell>
        </row>
        <row r="31">
          <cell r="B31">
            <v>-0.56214394375720211</v>
          </cell>
          <cell r="C31">
            <v>-1.9457945989321295</v>
          </cell>
        </row>
        <row r="32">
          <cell r="B32">
            <v>-2.9057494833858879</v>
          </cell>
          <cell r="C32">
            <v>2.108242858941372</v>
          </cell>
        </row>
        <row r="33">
          <cell r="B33">
            <v>0.92705098312485723</v>
          </cell>
          <cell r="C33">
            <v>-0.95105651629515553</v>
          </cell>
        </row>
        <row r="34">
          <cell r="B34">
            <v>2.7893294576647509</v>
          </cell>
          <cell r="C34">
            <v>0.70352903727330807</v>
          </cell>
        </row>
        <row r="35">
          <cell r="B35">
            <v>-1.2773378746952202</v>
          </cell>
          <cell r="C35">
            <v>-0.65416058533739896</v>
          </cell>
        </row>
        <row r="36">
          <cell r="B36">
            <v>-2.6289200401315926</v>
          </cell>
          <cell r="C36">
            <v>-0.97618358074112144</v>
          </cell>
        </row>
        <row r="37">
          <cell r="B37">
            <v>1.6074803849369985</v>
          </cell>
          <cell r="C37">
            <v>2.840381382358558</v>
          </cell>
        </row>
        <row r="38">
          <cell r="B38">
            <v>2.4270509831248401</v>
          </cell>
          <cell r="C38">
            <v>-2.2058192410423674</v>
          </cell>
        </row>
        <row r="39">
          <cell r="B39">
            <v>-1.9122719692460672</v>
          </cell>
          <cell r="C39">
            <v>-0.27313346844608966</v>
          </cell>
        </row>
        <row r="40">
          <cell r="B40">
            <v>-2.1869058822642264</v>
          </cell>
          <cell r="C40">
            <v>1.5361056890588261</v>
          </cell>
        </row>
        <row r="41">
          <cell r="B41">
            <v>2.1869058822642384</v>
          </cell>
          <cell r="C41">
            <v>-1.1251069990033615</v>
          </cell>
        </row>
        <row r="42">
          <cell r="B42">
            <v>1.9122719692460537</v>
          </cell>
          <cell r="C42">
            <v>1.1666530794814611</v>
          </cell>
        </row>
        <row r="43">
          <cell r="B43">
            <v>-2.4270509831248379</v>
          </cell>
          <cell r="C43">
            <v>-1.7633557568774152</v>
          </cell>
        </row>
        <row r="44">
          <cell r="B44">
            <v>-1.6074803849370021</v>
          </cell>
          <cell r="C44">
            <v>0.71874688644337159</v>
          </cell>
        </row>
        <row r="45">
          <cell r="B45">
            <v>2.6289200401316015</v>
          </cell>
          <cell r="C45">
            <v>1.8508478859590807</v>
          </cell>
        </row>
        <row r="46">
          <cell r="B46">
            <v>1.2773378746952042</v>
          </cell>
          <cell r="C46">
            <v>-2.8890564550949773</v>
          </cell>
        </row>
        <row r="47">
          <cell r="B47">
            <v>-2.7893294576647572</v>
          </cell>
          <cell r="C47">
            <v>1.3205312983193367</v>
          </cell>
        </row>
        <row r="48">
          <cell r="B48">
            <v>-0.92705098312484036</v>
          </cell>
          <cell r="C48">
            <v>0.33302252754527051</v>
          </cell>
        </row>
        <row r="49">
          <cell r="B49">
            <v>2.905749483385903</v>
          </cell>
          <cell r="C49">
            <v>-0.48755921820453085</v>
          </cell>
        </row>
        <row r="50">
          <cell r="B50">
            <v>0.56214394375714294</v>
          </cell>
          <cell r="C50">
            <v>0.77032610935904877</v>
          </cell>
        </row>
        <row r="51">
          <cell r="B51">
            <v>-2.9763441039434366</v>
          </cell>
          <cell r="C51">
            <v>-2.0899077350216726</v>
          </cell>
        </row>
        <row r="52">
          <cell r="B52">
            <v>-0.18837155858792182</v>
          </cell>
          <cell r="C52">
            <v>2.2728747079256437</v>
          </cell>
        </row>
        <row r="53">
          <cell r="B53">
            <v>3</v>
          </cell>
          <cell r="C53">
            <v>4.1163253361453656E-14</v>
          </cell>
        </row>
        <row r="54">
          <cell r="B54">
            <v>-0.18837155858798782</v>
          </cell>
          <cell r="C54">
            <v>-2.2728747079256677</v>
          </cell>
        </row>
        <row r="55">
          <cell r="B55">
            <v>-2.9763441039434335</v>
          </cell>
          <cell r="C55">
            <v>2.0899077350216868</v>
          </cell>
        </row>
        <row r="56">
          <cell r="B56">
            <v>0.562143943757208</v>
          </cell>
          <cell r="C56">
            <v>-0.77032610935902313</v>
          </cell>
        </row>
        <row r="57">
          <cell r="B57">
            <v>2.9057494833858968</v>
          </cell>
          <cell r="C57">
            <v>0.48755921820449233</v>
          </cell>
        </row>
        <row r="58">
          <cell r="B58">
            <v>-0.92705098312486267</v>
          </cell>
          <cell r="C58">
            <v>-0.3330225275452634</v>
          </cell>
        </row>
        <row r="59">
          <cell r="B59">
            <v>-2.7893294576647332</v>
          </cell>
          <cell r="C59">
            <v>-1.3205312983193491</v>
          </cell>
        </row>
        <row r="60">
          <cell r="B60">
            <v>1.2773378746952255</v>
          </cell>
          <cell r="C60">
            <v>2.8890564550949733</v>
          </cell>
        </row>
        <row r="61">
          <cell r="B61">
            <v>2.6289200401315695</v>
          </cell>
          <cell r="C61">
            <v>-1.8508478859590758</v>
          </cell>
        </row>
        <row r="62">
          <cell r="B62">
            <v>-1.6074803849369856</v>
          </cell>
          <cell r="C62">
            <v>-0.71874688644340823</v>
          </cell>
        </row>
        <row r="63">
          <cell r="B63">
            <v>-2.4270509831248241</v>
          </cell>
          <cell r="C63">
            <v>1.7633557568774256</v>
          </cell>
        </row>
        <row r="64">
          <cell r="B64">
            <v>1.9122719692460552</v>
          </cell>
          <cell r="C64">
            <v>-1.1666530794814631</v>
          </cell>
        </row>
        <row r="65">
          <cell r="B65">
            <v>2.1869058822642224</v>
          </cell>
          <cell r="C65">
            <v>1.1251069990033415</v>
          </cell>
        </row>
        <row r="66">
          <cell r="B66">
            <v>-2.1869058822642424</v>
          </cell>
          <cell r="C66">
            <v>-1.5361056890587901</v>
          </cell>
        </row>
        <row r="67">
          <cell r="B67">
            <v>-1.9122719692460657</v>
          </cell>
          <cell r="C67">
            <v>0.27313346844605779</v>
          </cell>
        </row>
        <row r="68">
          <cell r="B68">
            <v>2.4270509831248663</v>
          </cell>
          <cell r="C68">
            <v>2.205819241042358</v>
          </cell>
        </row>
        <row r="69">
          <cell r="B69">
            <v>1.607480384936997</v>
          </cell>
          <cell r="C69">
            <v>-2.8403813823585544</v>
          </cell>
        </row>
        <row r="70">
          <cell r="B70">
            <v>-2.6289200401316042</v>
          </cell>
          <cell r="C70">
            <v>0.97618358074110567</v>
          </cell>
        </row>
        <row r="71">
          <cell r="B71">
            <v>-1.2773378746951989</v>
          </cell>
          <cell r="C71">
            <v>0.65416058533746368</v>
          </cell>
        </row>
        <row r="72">
          <cell r="B72">
            <v>2.7893294576647598</v>
          </cell>
          <cell r="C72">
            <v>-0.70352903727334359</v>
          </cell>
        </row>
        <row r="73">
          <cell r="B73">
            <v>0.92705098312483469</v>
          </cell>
          <cell r="C73">
            <v>0.95105651629515464</v>
          </cell>
        </row>
        <row r="74">
          <cell r="B74">
            <v>-2.9057494833858937</v>
          </cell>
          <cell r="C74">
            <v>-2.1082428589413418</v>
          </cell>
        </row>
        <row r="75">
          <cell r="B75">
            <v>-0.56214394375717902</v>
          </cell>
          <cell r="C75">
            <v>1.9457945989321019</v>
          </cell>
        </row>
        <row r="76">
          <cell r="B76">
            <v>2.9763441039434371</v>
          </cell>
          <cell r="C76">
            <v>0.50009586273574103</v>
          </cell>
        </row>
        <row r="77">
          <cell r="B77">
            <v>0.18837155858791593</v>
          </cell>
          <cell r="C77">
            <v>-2.5390532139798352</v>
          </cell>
        </row>
        <row r="78">
          <cell r="B78">
            <v>-3</v>
          </cell>
          <cell r="C78">
            <v>2.0000000000000058</v>
          </cell>
        </row>
        <row r="79">
          <cell r="B79">
            <v>0.18837155858795115</v>
          </cell>
          <cell r="C79">
            <v>-0.54299975712327786</v>
          </cell>
        </row>
        <row r="80">
          <cell r="B80">
            <v>2.9763441039434331</v>
          </cell>
          <cell r="C80">
            <v>0.24942939560706415</v>
          </cell>
        </row>
        <row r="81">
          <cell r="B81">
            <v>-0.56214394375721366</v>
          </cell>
          <cell r="C81">
            <v>-1.8779902525203895E-2</v>
          </cell>
        </row>
        <row r="82">
          <cell r="B82">
            <v>-2.9057494833858954</v>
          </cell>
          <cell r="C82">
            <v>-1.6108630846116645</v>
          </cell>
        </row>
        <row r="83">
          <cell r="B83">
            <v>0.9270509831248277</v>
          </cell>
          <cell r="C83">
            <v>2.8531695488854574</v>
          </cell>
        </row>
        <row r="84">
          <cell r="B84">
            <v>2.7893294576647305</v>
          </cell>
          <cell r="C84">
            <v>-1.4397781426426484</v>
          </cell>
        </row>
        <row r="85">
          <cell r="B85">
            <v>-1.2773378746951922</v>
          </cell>
          <cell r="C85">
            <v>-1.1554935195946603</v>
          </cell>
        </row>
        <row r="86">
          <cell r="B86">
            <v>-2.6289200401315664</v>
          </cell>
          <cell r="C86">
            <v>1.9396909289445574</v>
          </cell>
        </row>
        <row r="87">
          <cell r="B87">
            <v>1.6074803849370265</v>
          </cell>
          <cell r="C87">
            <v>-1.1517255313545349</v>
          </cell>
        </row>
        <row r="88">
          <cell r="B88">
            <v>2.4270509831248201</v>
          </cell>
          <cell r="C88">
            <v>1.0302487364574</v>
          </cell>
        </row>
        <row r="89">
          <cell r="B89">
            <v>-1.9122719692460926</v>
          </cell>
          <cell r="C89">
            <v>-1.2678930171054943</v>
          </cell>
        </row>
        <row r="90">
          <cell r="B90">
            <v>-2.1869058822642184</v>
          </cell>
          <cell r="C90">
            <v>-0.16701147720142917</v>
          </cell>
        </row>
        <row r="91">
          <cell r="B91">
            <v>2.1869058822642464</v>
          </cell>
          <cell r="C91">
            <v>2.4942012108607523</v>
          </cell>
        </row>
        <row r="92">
          <cell r="B92">
            <v>1.9122719692460608</v>
          </cell>
          <cell r="C92">
            <v>-2.7076795650330423</v>
          </cell>
        </row>
        <row r="93">
          <cell r="B93">
            <v>-2.4270509831248446</v>
          </cell>
          <cell r="C93">
            <v>0.58778525229245449</v>
          </cell>
        </row>
        <row r="94">
          <cell r="B94">
            <v>-1.6074803849369919</v>
          </cell>
          <cell r="C94">
            <v>0.96990896456070064</v>
          </cell>
        </row>
        <row r="95">
          <cell r="B95">
            <v>2.6289200401316273</v>
          </cell>
          <cell r="C95">
            <v>-0.88734053775571176</v>
          </cell>
        </row>
        <row r="96">
          <cell r="B96">
            <v>1.2773378746952322</v>
          </cell>
          <cell r="C96">
            <v>1.0794023501629402</v>
          </cell>
        </row>
        <row r="97">
          <cell r="B97">
            <v>-2.7893294576647776</v>
          </cell>
          <cell r="C97">
            <v>-2.0567804036886614</v>
          </cell>
        </row>
        <row r="98">
          <cell r="B98">
            <v>-0.92705098312486967</v>
          </cell>
          <cell r="C98">
            <v>1.5690905050450181</v>
          </cell>
        </row>
        <row r="99">
          <cell r="B99">
            <v>2.9057494833859057</v>
          </cell>
          <cell r="C99">
            <v>0.98493899253420114</v>
          </cell>
        </row>
        <row r="100">
          <cell r="B100">
            <v>0.56214394375713139</v>
          </cell>
          <cell r="C100">
            <v>-2.7349006108164113</v>
          </cell>
        </row>
        <row r="101">
          <cell r="B101">
            <v>-2.976344103943438</v>
          </cell>
          <cell r="C101">
            <v>1.8392412678930816</v>
          </cell>
        </row>
        <row r="102">
          <cell r="B102">
            <v>-0.18837155858791005</v>
          </cell>
          <cell r="C102">
            <v>-0.27682125106906463</v>
          </cell>
        </row>
        <row r="103">
          <cell r="B103">
            <v>3</v>
          </cell>
          <cell r="C103">
            <v>-9.800667222226167E-14</v>
          </cell>
        </row>
        <row r="104">
          <cell r="B104">
            <v>3</v>
          </cell>
          <cell r="C104">
            <v>3</v>
          </cell>
        </row>
        <row r="105">
          <cell r="B105">
            <v>-3</v>
          </cell>
          <cell r="C105">
            <v>3</v>
          </cell>
        </row>
        <row r="106">
          <cell r="B106">
            <v>-3</v>
          </cell>
          <cell r="C106">
            <v>-3</v>
          </cell>
        </row>
        <row r="107">
          <cell r="B107">
            <v>3</v>
          </cell>
          <cell r="C107">
            <v>-3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CF9B0-1B5B-45BA-9BFC-83282A301E79}">
  <dimension ref="B8:G110"/>
  <sheetViews>
    <sheetView workbookViewId="0">
      <selection activeCell="D11" sqref="D11"/>
    </sheetView>
  </sheetViews>
  <sheetFormatPr defaultRowHeight="18" x14ac:dyDescent="0.45"/>
  <sheetData>
    <row r="8" spans="2:7" ht="18.600000000000001" thickBot="1" x14ac:dyDescent="0.5"/>
    <row r="9" spans="2:7" ht="18.600000000000001" thickBot="1" x14ac:dyDescent="0.5">
      <c r="B9" s="6" t="s">
        <v>0</v>
      </c>
      <c r="C9" s="8" t="s">
        <v>1</v>
      </c>
      <c r="D9" s="7" t="s">
        <v>2</v>
      </c>
      <c r="F9" s="11" t="s">
        <v>3</v>
      </c>
      <c r="G9" s="5"/>
    </row>
    <row r="10" spans="2:7" x14ac:dyDescent="0.45">
      <c r="B10" s="1">
        <v>0</v>
      </c>
      <c r="C10" s="9"/>
      <c r="D10" s="2"/>
    </row>
    <row r="11" spans="2:7" x14ac:dyDescent="0.45">
      <c r="B11" s="1">
        <v>1</v>
      </c>
      <c r="C11" s="9"/>
      <c r="D11" s="2"/>
    </row>
    <row r="12" spans="2:7" x14ac:dyDescent="0.45">
      <c r="B12" s="1">
        <v>2</v>
      </c>
      <c r="C12" s="9"/>
      <c r="D12" s="2"/>
    </row>
    <row r="13" spans="2:7" x14ac:dyDescent="0.45">
      <c r="B13" s="1">
        <v>3</v>
      </c>
      <c r="C13" s="9"/>
      <c r="D13" s="2"/>
    </row>
    <row r="14" spans="2:7" x14ac:dyDescent="0.45">
      <c r="B14" s="1">
        <v>4</v>
      </c>
      <c r="C14" s="9"/>
      <c r="D14" s="2"/>
    </row>
    <row r="15" spans="2:7" x14ac:dyDescent="0.45">
      <c r="B15" s="1">
        <v>5</v>
      </c>
      <c r="C15" s="9"/>
      <c r="D15" s="2"/>
    </row>
    <row r="16" spans="2:7" x14ac:dyDescent="0.45">
      <c r="B16" s="1">
        <v>6</v>
      </c>
      <c r="C16" s="9"/>
      <c r="D16" s="2"/>
    </row>
    <row r="17" spans="2:4" x14ac:dyDescent="0.45">
      <c r="B17" s="1">
        <v>7</v>
      </c>
      <c r="C17" s="9"/>
      <c r="D17" s="2"/>
    </row>
    <row r="18" spans="2:4" x14ac:dyDescent="0.45">
      <c r="B18" s="1">
        <v>8</v>
      </c>
      <c r="C18" s="9"/>
      <c r="D18" s="2"/>
    </row>
    <row r="19" spans="2:4" x14ac:dyDescent="0.45">
      <c r="B19" s="1">
        <v>9</v>
      </c>
      <c r="C19" s="9"/>
      <c r="D19" s="2"/>
    </row>
    <row r="20" spans="2:4" x14ac:dyDescent="0.45">
      <c r="B20" s="1">
        <v>10</v>
      </c>
      <c r="C20" s="9"/>
      <c r="D20" s="2"/>
    </row>
    <row r="21" spans="2:4" x14ac:dyDescent="0.45">
      <c r="B21" s="1">
        <v>11</v>
      </c>
      <c r="C21" s="9"/>
      <c r="D21" s="2"/>
    </row>
    <row r="22" spans="2:4" x14ac:dyDescent="0.45">
      <c r="B22" s="1">
        <v>12</v>
      </c>
      <c r="C22" s="9"/>
      <c r="D22" s="2"/>
    </row>
    <row r="23" spans="2:4" x14ac:dyDescent="0.45">
      <c r="B23" s="1">
        <v>13</v>
      </c>
      <c r="C23" s="9"/>
      <c r="D23" s="2"/>
    </row>
    <row r="24" spans="2:4" x14ac:dyDescent="0.45">
      <c r="B24" s="1">
        <v>14</v>
      </c>
      <c r="C24" s="9"/>
      <c r="D24" s="2"/>
    </row>
    <row r="25" spans="2:4" x14ac:dyDescent="0.45">
      <c r="B25" s="1">
        <v>15</v>
      </c>
      <c r="C25" s="9"/>
      <c r="D25" s="2"/>
    </row>
    <row r="26" spans="2:4" x14ac:dyDescent="0.45">
      <c r="B26" s="1">
        <v>16</v>
      </c>
      <c r="C26" s="9"/>
      <c r="D26" s="2"/>
    </row>
    <row r="27" spans="2:4" x14ac:dyDescent="0.45">
      <c r="B27" s="1">
        <v>17</v>
      </c>
      <c r="C27" s="9"/>
      <c r="D27" s="2"/>
    </row>
    <row r="28" spans="2:4" x14ac:dyDescent="0.45">
      <c r="B28" s="1">
        <v>18</v>
      </c>
      <c r="C28" s="9"/>
      <c r="D28" s="2"/>
    </row>
    <row r="29" spans="2:4" x14ac:dyDescent="0.45">
      <c r="B29" s="1">
        <v>19</v>
      </c>
      <c r="C29" s="9"/>
      <c r="D29" s="2"/>
    </row>
    <row r="30" spans="2:4" x14ac:dyDescent="0.45">
      <c r="B30" s="1">
        <v>20</v>
      </c>
      <c r="C30" s="9"/>
      <c r="D30" s="2"/>
    </row>
    <row r="31" spans="2:4" x14ac:dyDescent="0.45">
      <c r="B31" s="1">
        <v>21</v>
      </c>
      <c r="C31" s="9"/>
      <c r="D31" s="2"/>
    </row>
    <row r="32" spans="2:4" x14ac:dyDescent="0.45">
      <c r="B32" s="1">
        <v>22</v>
      </c>
      <c r="C32" s="9"/>
      <c r="D32" s="2"/>
    </row>
    <row r="33" spans="2:4" x14ac:dyDescent="0.45">
      <c r="B33" s="1">
        <v>23</v>
      </c>
      <c r="C33" s="9"/>
      <c r="D33" s="2"/>
    </row>
    <row r="34" spans="2:4" x14ac:dyDescent="0.45">
      <c r="B34" s="1">
        <v>24</v>
      </c>
      <c r="C34" s="9"/>
      <c r="D34" s="2"/>
    </row>
    <row r="35" spans="2:4" x14ac:dyDescent="0.45">
      <c r="B35" s="1">
        <v>25</v>
      </c>
      <c r="C35" s="9"/>
      <c r="D35" s="2"/>
    </row>
    <row r="36" spans="2:4" x14ac:dyDescent="0.45">
      <c r="B36" s="1">
        <v>26</v>
      </c>
      <c r="C36" s="9"/>
      <c r="D36" s="2"/>
    </row>
    <row r="37" spans="2:4" x14ac:dyDescent="0.45">
      <c r="B37" s="1">
        <v>27</v>
      </c>
      <c r="C37" s="9"/>
      <c r="D37" s="2"/>
    </row>
    <row r="38" spans="2:4" x14ac:dyDescent="0.45">
      <c r="B38" s="1">
        <v>28</v>
      </c>
      <c r="C38" s="9"/>
      <c r="D38" s="2"/>
    </row>
    <row r="39" spans="2:4" x14ac:dyDescent="0.45">
      <c r="B39" s="1">
        <v>29</v>
      </c>
      <c r="C39" s="9"/>
      <c r="D39" s="2"/>
    </row>
    <row r="40" spans="2:4" x14ac:dyDescent="0.45">
      <c r="B40" s="1">
        <v>30</v>
      </c>
      <c r="C40" s="9"/>
      <c r="D40" s="2"/>
    </row>
    <row r="41" spans="2:4" x14ac:dyDescent="0.45">
      <c r="B41" s="1">
        <v>31</v>
      </c>
      <c r="C41" s="9"/>
      <c r="D41" s="2"/>
    </row>
    <row r="42" spans="2:4" x14ac:dyDescent="0.45">
      <c r="B42" s="1">
        <v>32</v>
      </c>
      <c r="C42" s="9"/>
      <c r="D42" s="2"/>
    </row>
    <row r="43" spans="2:4" x14ac:dyDescent="0.45">
      <c r="B43" s="1">
        <v>33</v>
      </c>
      <c r="C43" s="9"/>
      <c r="D43" s="2"/>
    </row>
    <row r="44" spans="2:4" x14ac:dyDescent="0.45">
      <c r="B44" s="1">
        <v>34</v>
      </c>
      <c r="C44" s="9"/>
      <c r="D44" s="2"/>
    </row>
    <row r="45" spans="2:4" x14ac:dyDescent="0.45">
      <c r="B45" s="1">
        <v>35</v>
      </c>
      <c r="C45" s="9"/>
      <c r="D45" s="2"/>
    </row>
    <row r="46" spans="2:4" x14ac:dyDescent="0.45">
      <c r="B46" s="1">
        <v>36</v>
      </c>
      <c r="C46" s="9"/>
      <c r="D46" s="2"/>
    </row>
    <row r="47" spans="2:4" x14ac:dyDescent="0.45">
      <c r="B47" s="1">
        <v>37</v>
      </c>
      <c r="C47" s="9"/>
      <c r="D47" s="2"/>
    </row>
    <row r="48" spans="2:4" x14ac:dyDescent="0.45">
      <c r="B48" s="1">
        <v>38</v>
      </c>
      <c r="C48" s="9"/>
      <c r="D48" s="2"/>
    </row>
    <row r="49" spans="2:4" x14ac:dyDescent="0.45">
      <c r="B49" s="1">
        <v>39</v>
      </c>
      <c r="C49" s="9"/>
      <c r="D49" s="2"/>
    </row>
    <row r="50" spans="2:4" x14ac:dyDescent="0.45">
      <c r="B50" s="1">
        <v>40</v>
      </c>
      <c r="C50" s="9"/>
      <c r="D50" s="2"/>
    </row>
    <row r="51" spans="2:4" x14ac:dyDescent="0.45">
      <c r="B51" s="1">
        <v>41</v>
      </c>
      <c r="C51" s="9"/>
      <c r="D51" s="2"/>
    </row>
    <row r="52" spans="2:4" x14ac:dyDescent="0.45">
      <c r="B52" s="1">
        <v>42</v>
      </c>
      <c r="C52" s="9"/>
      <c r="D52" s="2"/>
    </row>
    <row r="53" spans="2:4" x14ac:dyDescent="0.45">
      <c r="B53" s="1">
        <v>43</v>
      </c>
      <c r="C53" s="9"/>
      <c r="D53" s="2"/>
    </row>
    <row r="54" spans="2:4" x14ac:dyDescent="0.45">
      <c r="B54" s="1">
        <v>44</v>
      </c>
      <c r="C54" s="9"/>
      <c r="D54" s="2"/>
    </row>
    <row r="55" spans="2:4" x14ac:dyDescent="0.45">
      <c r="B55" s="1">
        <v>45</v>
      </c>
      <c r="C55" s="9"/>
      <c r="D55" s="2"/>
    </row>
    <row r="56" spans="2:4" x14ac:dyDescent="0.45">
      <c r="B56" s="1">
        <v>46</v>
      </c>
      <c r="C56" s="9"/>
      <c r="D56" s="2"/>
    </row>
    <row r="57" spans="2:4" x14ac:dyDescent="0.45">
      <c r="B57" s="1">
        <v>47</v>
      </c>
      <c r="C57" s="9"/>
      <c r="D57" s="2"/>
    </row>
    <row r="58" spans="2:4" x14ac:dyDescent="0.45">
      <c r="B58" s="1">
        <v>48</v>
      </c>
      <c r="C58" s="9"/>
      <c r="D58" s="2"/>
    </row>
    <row r="59" spans="2:4" x14ac:dyDescent="0.45">
      <c r="B59" s="1">
        <v>49</v>
      </c>
      <c r="C59" s="9"/>
      <c r="D59" s="2"/>
    </row>
    <row r="60" spans="2:4" x14ac:dyDescent="0.45">
      <c r="B60" s="1">
        <v>50</v>
      </c>
      <c r="C60" s="9"/>
      <c r="D60" s="2"/>
    </row>
    <row r="61" spans="2:4" x14ac:dyDescent="0.45">
      <c r="B61" s="1">
        <v>51</v>
      </c>
      <c r="C61" s="9"/>
      <c r="D61" s="2"/>
    </row>
    <row r="62" spans="2:4" x14ac:dyDescent="0.45">
      <c r="B62" s="1">
        <v>52</v>
      </c>
      <c r="C62" s="9"/>
      <c r="D62" s="2"/>
    </row>
    <row r="63" spans="2:4" x14ac:dyDescent="0.45">
      <c r="B63" s="1">
        <v>53</v>
      </c>
      <c r="C63" s="9"/>
      <c r="D63" s="2"/>
    </row>
    <row r="64" spans="2:4" x14ac:dyDescent="0.45">
      <c r="B64" s="1">
        <v>54</v>
      </c>
      <c r="C64" s="9"/>
      <c r="D64" s="2"/>
    </row>
    <row r="65" spans="2:4" x14ac:dyDescent="0.45">
      <c r="B65" s="1">
        <v>55</v>
      </c>
      <c r="C65" s="9"/>
      <c r="D65" s="2"/>
    </row>
    <row r="66" spans="2:4" x14ac:dyDescent="0.45">
      <c r="B66" s="1">
        <v>56</v>
      </c>
      <c r="C66" s="9"/>
      <c r="D66" s="2"/>
    </row>
    <row r="67" spans="2:4" x14ac:dyDescent="0.45">
      <c r="B67" s="1">
        <v>57</v>
      </c>
      <c r="C67" s="9"/>
      <c r="D67" s="2"/>
    </row>
    <row r="68" spans="2:4" x14ac:dyDescent="0.45">
      <c r="B68" s="1">
        <v>58</v>
      </c>
      <c r="C68" s="9"/>
      <c r="D68" s="2"/>
    </row>
    <row r="69" spans="2:4" x14ac:dyDescent="0.45">
      <c r="B69" s="1">
        <v>59</v>
      </c>
      <c r="C69" s="9"/>
      <c r="D69" s="2"/>
    </row>
    <row r="70" spans="2:4" x14ac:dyDescent="0.45">
      <c r="B70" s="1">
        <v>60</v>
      </c>
      <c r="C70" s="9"/>
      <c r="D70" s="2"/>
    </row>
    <row r="71" spans="2:4" x14ac:dyDescent="0.45">
      <c r="B71" s="1">
        <v>61</v>
      </c>
      <c r="C71" s="9"/>
      <c r="D71" s="2"/>
    </row>
    <row r="72" spans="2:4" x14ac:dyDescent="0.45">
      <c r="B72" s="1">
        <v>62</v>
      </c>
      <c r="C72" s="9"/>
      <c r="D72" s="2"/>
    </row>
    <row r="73" spans="2:4" x14ac:dyDescent="0.45">
      <c r="B73" s="1">
        <v>63</v>
      </c>
      <c r="C73" s="9"/>
      <c r="D73" s="2"/>
    </row>
    <row r="74" spans="2:4" x14ac:dyDescent="0.45">
      <c r="B74" s="1">
        <v>64</v>
      </c>
      <c r="C74" s="9"/>
      <c r="D74" s="2"/>
    </row>
    <row r="75" spans="2:4" x14ac:dyDescent="0.45">
      <c r="B75" s="1">
        <v>65</v>
      </c>
      <c r="C75" s="9"/>
      <c r="D75" s="2"/>
    </row>
    <row r="76" spans="2:4" x14ac:dyDescent="0.45">
      <c r="B76" s="1">
        <v>66</v>
      </c>
      <c r="C76" s="9"/>
      <c r="D76" s="2"/>
    </row>
    <row r="77" spans="2:4" x14ac:dyDescent="0.45">
      <c r="B77" s="1">
        <v>67</v>
      </c>
      <c r="C77" s="9"/>
      <c r="D77" s="2"/>
    </row>
    <row r="78" spans="2:4" x14ac:dyDescent="0.45">
      <c r="B78" s="1">
        <v>68</v>
      </c>
      <c r="C78" s="9"/>
      <c r="D78" s="2"/>
    </row>
    <row r="79" spans="2:4" x14ac:dyDescent="0.45">
      <c r="B79" s="1">
        <v>69</v>
      </c>
      <c r="C79" s="9"/>
      <c r="D79" s="2"/>
    </row>
    <row r="80" spans="2:4" x14ac:dyDescent="0.45">
      <c r="B80" s="1">
        <v>70</v>
      </c>
      <c r="C80" s="9"/>
      <c r="D80" s="2"/>
    </row>
    <row r="81" spans="2:4" x14ac:dyDescent="0.45">
      <c r="B81" s="1">
        <v>71</v>
      </c>
      <c r="C81" s="9"/>
      <c r="D81" s="2"/>
    </row>
    <row r="82" spans="2:4" x14ac:dyDescent="0.45">
      <c r="B82" s="1">
        <v>72</v>
      </c>
      <c r="C82" s="9"/>
      <c r="D82" s="2"/>
    </row>
    <row r="83" spans="2:4" x14ac:dyDescent="0.45">
      <c r="B83" s="1">
        <v>73</v>
      </c>
      <c r="C83" s="9"/>
      <c r="D83" s="2"/>
    </row>
    <row r="84" spans="2:4" x14ac:dyDescent="0.45">
      <c r="B84" s="1">
        <v>74</v>
      </c>
      <c r="C84" s="9"/>
      <c r="D84" s="2"/>
    </row>
    <row r="85" spans="2:4" x14ac:dyDescent="0.45">
      <c r="B85" s="1">
        <v>75</v>
      </c>
      <c r="C85" s="9"/>
      <c r="D85" s="2"/>
    </row>
    <row r="86" spans="2:4" x14ac:dyDescent="0.45">
      <c r="B86" s="1">
        <v>76</v>
      </c>
      <c r="C86" s="9"/>
      <c r="D86" s="2"/>
    </row>
    <row r="87" spans="2:4" x14ac:dyDescent="0.45">
      <c r="B87" s="1">
        <v>77</v>
      </c>
      <c r="C87" s="9"/>
      <c r="D87" s="2"/>
    </row>
    <row r="88" spans="2:4" x14ac:dyDescent="0.45">
      <c r="B88" s="1">
        <v>78</v>
      </c>
      <c r="C88" s="9"/>
      <c r="D88" s="2"/>
    </row>
    <row r="89" spans="2:4" x14ac:dyDescent="0.45">
      <c r="B89" s="1">
        <v>79</v>
      </c>
      <c r="C89" s="9"/>
      <c r="D89" s="2"/>
    </row>
    <row r="90" spans="2:4" x14ac:dyDescent="0.45">
      <c r="B90" s="1">
        <v>80</v>
      </c>
      <c r="C90" s="9"/>
      <c r="D90" s="2"/>
    </row>
    <row r="91" spans="2:4" x14ac:dyDescent="0.45">
      <c r="B91" s="1">
        <v>81</v>
      </c>
      <c r="C91" s="9"/>
      <c r="D91" s="2"/>
    </row>
    <row r="92" spans="2:4" x14ac:dyDescent="0.45">
      <c r="B92" s="1">
        <v>82</v>
      </c>
      <c r="C92" s="9"/>
      <c r="D92" s="2"/>
    </row>
    <row r="93" spans="2:4" x14ac:dyDescent="0.45">
      <c r="B93" s="1">
        <v>83</v>
      </c>
      <c r="C93" s="9"/>
      <c r="D93" s="2"/>
    </row>
    <row r="94" spans="2:4" x14ac:dyDescent="0.45">
      <c r="B94" s="1">
        <v>84</v>
      </c>
      <c r="C94" s="9"/>
      <c r="D94" s="2"/>
    </row>
    <row r="95" spans="2:4" x14ac:dyDescent="0.45">
      <c r="B95" s="1">
        <v>85</v>
      </c>
      <c r="C95" s="9"/>
      <c r="D95" s="2"/>
    </row>
    <row r="96" spans="2:4" x14ac:dyDescent="0.45">
      <c r="B96" s="1">
        <v>86</v>
      </c>
      <c r="C96" s="9"/>
      <c r="D96" s="2"/>
    </row>
    <row r="97" spans="2:4" x14ac:dyDescent="0.45">
      <c r="B97" s="1">
        <v>87</v>
      </c>
      <c r="C97" s="9"/>
      <c r="D97" s="2"/>
    </row>
    <row r="98" spans="2:4" x14ac:dyDescent="0.45">
      <c r="B98" s="1">
        <v>88</v>
      </c>
      <c r="C98" s="9"/>
      <c r="D98" s="2"/>
    </row>
    <row r="99" spans="2:4" x14ac:dyDescent="0.45">
      <c r="B99" s="1">
        <v>89</v>
      </c>
      <c r="C99" s="9"/>
      <c r="D99" s="2"/>
    </row>
    <row r="100" spans="2:4" x14ac:dyDescent="0.45">
      <c r="B100" s="1">
        <v>90</v>
      </c>
      <c r="C100" s="9"/>
      <c r="D100" s="2"/>
    </row>
    <row r="101" spans="2:4" x14ac:dyDescent="0.45">
      <c r="B101" s="1">
        <v>91</v>
      </c>
      <c r="C101" s="9"/>
      <c r="D101" s="2"/>
    </row>
    <row r="102" spans="2:4" x14ac:dyDescent="0.45">
      <c r="B102" s="1">
        <v>92</v>
      </c>
      <c r="C102" s="9"/>
      <c r="D102" s="2"/>
    </row>
    <row r="103" spans="2:4" x14ac:dyDescent="0.45">
      <c r="B103" s="1">
        <v>93</v>
      </c>
      <c r="C103" s="9"/>
      <c r="D103" s="2"/>
    </row>
    <row r="104" spans="2:4" x14ac:dyDescent="0.45">
      <c r="B104" s="1">
        <v>94</v>
      </c>
      <c r="C104" s="9"/>
      <c r="D104" s="2"/>
    </row>
    <row r="105" spans="2:4" x14ac:dyDescent="0.45">
      <c r="B105" s="1">
        <v>95</v>
      </c>
      <c r="C105" s="9"/>
      <c r="D105" s="2"/>
    </row>
    <row r="106" spans="2:4" x14ac:dyDescent="0.45">
      <c r="B106" s="1">
        <v>96</v>
      </c>
      <c r="C106" s="9"/>
      <c r="D106" s="2"/>
    </row>
    <row r="107" spans="2:4" x14ac:dyDescent="0.45">
      <c r="B107" s="1">
        <v>97</v>
      </c>
      <c r="C107" s="9"/>
      <c r="D107" s="2"/>
    </row>
    <row r="108" spans="2:4" x14ac:dyDescent="0.45">
      <c r="B108" s="1">
        <v>98</v>
      </c>
      <c r="C108" s="9"/>
      <c r="D108" s="2"/>
    </row>
    <row r="109" spans="2:4" x14ac:dyDescent="0.45">
      <c r="B109" s="1">
        <v>99</v>
      </c>
      <c r="C109" s="9"/>
      <c r="D109" s="2"/>
    </row>
    <row r="110" spans="2:4" ht="18.600000000000001" thickBot="1" x14ac:dyDescent="0.5">
      <c r="B110" s="3">
        <v>100</v>
      </c>
      <c r="C110" s="9"/>
      <c r="D110" s="2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6E195-801D-4335-83F0-EEB66A6BEACB}">
  <dimension ref="B8:G110"/>
  <sheetViews>
    <sheetView tabSelected="1" workbookViewId="0">
      <selection activeCell="H21" sqref="H21"/>
    </sheetView>
  </sheetViews>
  <sheetFormatPr defaultRowHeight="18" x14ac:dyDescent="0.45"/>
  <sheetData>
    <row r="8" spans="2:7" ht="18.600000000000001" thickBot="1" x14ac:dyDescent="0.5"/>
    <row r="9" spans="2:7" ht="18.600000000000001" thickBot="1" x14ac:dyDescent="0.5">
      <c r="B9" s="6" t="s">
        <v>0</v>
      </c>
      <c r="C9" s="8" t="s">
        <v>1</v>
      </c>
      <c r="D9" s="7" t="s">
        <v>2</v>
      </c>
      <c r="F9" s="11" t="s">
        <v>3</v>
      </c>
      <c r="G9" s="5">
        <v>31</v>
      </c>
    </row>
    <row r="10" spans="2:7" x14ac:dyDescent="0.45">
      <c r="B10" s="1">
        <v>0</v>
      </c>
      <c r="C10" s="9">
        <f>COS(2*PI()*B10*$G$9/100)</f>
        <v>1</v>
      </c>
      <c r="D10" s="2">
        <f>SIN(2*PI()*B10*$G$9/100)</f>
        <v>0</v>
      </c>
    </row>
    <row r="11" spans="2:7" x14ac:dyDescent="0.45">
      <c r="B11" s="1">
        <v>1</v>
      </c>
      <c r="C11" s="9">
        <f t="shared" ref="C11:C74" si="0">COS(2*PI()*B11*$G$9/100)</f>
        <v>-0.36812455268467775</v>
      </c>
      <c r="D11" s="2">
        <f t="shared" ref="D11:D74" si="1">SIN(2*PI()*B11*$G$9/100)</f>
        <v>0.92977648588825146</v>
      </c>
    </row>
    <row r="12" spans="2:7" x14ac:dyDescent="0.45">
      <c r="B12" s="1">
        <v>2</v>
      </c>
      <c r="C12" s="9">
        <f t="shared" si="0"/>
        <v>-0.72896862742141177</v>
      </c>
      <c r="D12" s="2">
        <f t="shared" si="1"/>
        <v>-0.68454710592868839</v>
      </c>
    </row>
    <row r="13" spans="2:7" x14ac:dyDescent="0.45">
      <c r="B13" s="1">
        <v>3</v>
      </c>
      <c r="C13" s="9">
        <f t="shared" si="0"/>
        <v>0.90482705246601935</v>
      </c>
      <c r="D13" s="2">
        <f t="shared" si="1"/>
        <v>-0.42577929156507299</v>
      </c>
    </row>
    <row r="14" spans="2:7" x14ac:dyDescent="0.45">
      <c r="B14" s="1">
        <v>4</v>
      </c>
      <c r="C14" s="9">
        <f t="shared" si="0"/>
        <v>6.2790519529314207E-2</v>
      </c>
      <c r="D14" s="2">
        <f t="shared" si="1"/>
        <v>0.99802672842827156</v>
      </c>
    </row>
    <row r="15" spans="2:7" x14ac:dyDescent="0.45">
      <c r="B15" s="1">
        <v>5</v>
      </c>
      <c r="C15" s="9">
        <f t="shared" si="0"/>
        <v>-0.95105651629515364</v>
      </c>
      <c r="D15" s="2">
        <f t="shared" si="1"/>
        <v>-0.30901699437494706</v>
      </c>
    </row>
    <row r="16" spans="2:7" x14ac:dyDescent="0.45">
      <c r="B16" s="1">
        <v>6</v>
      </c>
      <c r="C16" s="9">
        <f t="shared" si="0"/>
        <v>0.63742398974868908</v>
      </c>
      <c r="D16" s="2">
        <f t="shared" si="1"/>
        <v>-0.7705132427757897</v>
      </c>
    </row>
    <row r="17" spans="2:4" x14ac:dyDescent="0.45">
      <c r="B17" s="1">
        <v>7</v>
      </c>
      <c r="C17" s="9">
        <f t="shared" si="0"/>
        <v>0.48175367410171638</v>
      </c>
      <c r="D17" s="2">
        <f t="shared" si="1"/>
        <v>0.87630668004386303</v>
      </c>
    </row>
    <row r="18" spans="2:4" x14ac:dyDescent="0.45">
      <c r="B18" s="1">
        <v>8</v>
      </c>
      <c r="C18" s="9">
        <f t="shared" si="0"/>
        <v>-0.99211470131447765</v>
      </c>
      <c r="D18" s="2">
        <f t="shared" si="1"/>
        <v>0.1253332335643059</v>
      </c>
    </row>
    <row r="19" spans="2:4" x14ac:dyDescent="0.45">
      <c r="B19" s="1">
        <v>9</v>
      </c>
      <c r="C19" s="9">
        <f t="shared" si="0"/>
        <v>0.24868988716485446</v>
      </c>
      <c r="D19" s="2">
        <f t="shared" si="1"/>
        <v>-0.96858316112863119</v>
      </c>
    </row>
    <row r="20" spans="2:4" x14ac:dyDescent="0.45">
      <c r="B20" s="1">
        <v>10</v>
      </c>
      <c r="C20" s="9">
        <f t="shared" si="0"/>
        <v>0.8090169943749479</v>
      </c>
      <c r="D20" s="2">
        <f t="shared" si="1"/>
        <v>0.58778525229247247</v>
      </c>
    </row>
    <row r="21" spans="2:4" x14ac:dyDescent="0.45">
      <c r="B21" s="1">
        <v>11</v>
      </c>
      <c r="C21" s="9">
        <f t="shared" si="0"/>
        <v>-0.84432792550201252</v>
      </c>
      <c r="D21" s="2">
        <f t="shared" si="1"/>
        <v>0.53582679497900065</v>
      </c>
    </row>
    <row r="22" spans="2:4" x14ac:dyDescent="0.45">
      <c r="B22" s="1">
        <v>12</v>
      </c>
      <c r="C22" s="9">
        <f t="shared" si="0"/>
        <v>-0.18738131458572621</v>
      </c>
      <c r="D22" s="2">
        <f t="shared" si="1"/>
        <v>-0.98228725072868839</v>
      </c>
    </row>
    <row r="23" spans="2:4" x14ac:dyDescent="0.45">
      <c r="B23" s="1">
        <v>13</v>
      </c>
      <c r="C23" s="9">
        <f t="shared" si="0"/>
        <v>0.98228725072868839</v>
      </c>
      <c r="D23" s="2">
        <f t="shared" si="1"/>
        <v>0.1873813145857261</v>
      </c>
    </row>
    <row r="24" spans="2:4" x14ac:dyDescent="0.45">
      <c r="B24" s="1">
        <v>14</v>
      </c>
      <c r="C24" s="9">
        <f t="shared" si="0"/>
        <v>-0.53582679497899455</v>
      </c>
      <c r="D24" s="2">
        <f t="shared" si="1"/>
        <v>0.84432792550201641</v>
      </c>
    </row>
    <row r="25" spans="2:4" x14ac:dyDescent="0.45">
      <c r="B25" s="1">
        <v>15</v>
      </c>
      <c r="C25" s="9">
        <f t="shared" si="0"/>
        <v>-0.58778525229247547</v>
      </c>
      <c r="D25" s="2">
        <f t="shared" si="1"/>
        <v>-0.80901699437494567</v>
      </c>
    </row>
    <row r="26" spans="2:4" x14ac:dyDescent="0.45">
      <c r="B26" s="1">
        <v>16</v>
      </c>
      <c r="C26" s="9">
        <f t="shared" si="0"/>
        <v>0.9685831611286303</v>
      </c>
      <c r="D26" s="2">
        <f t="shared" si="1"/>
        <v>-0.24868988716485804</v>
      </c>
    </row>
    <row r="27" spans="2:4" x14ac:dyDescent="0.45">
      <c r="B27" s="1">
        <v>17</v>
      </c>
      <c r="C27" s="9">
        <f t="shared" si="0"/>
        <v>-0.12533323356430401</v>
      </c>
      <c r="D27" s="2">
        <f t="shared" si="1"/>
        <v>0.99211470131447788</v>
      </c>
    </row>
    <row r="28" spans="2:4" x14ac:dyDescent="0.45">
      <c r="B28" s="1">
        <v>18</v>
      </c>
      <c r="C28" s="9">
        <f t="shared" si="0"/>
        <v>-0.87630668004386392</v>
      </c>
      <c r="D28" s="2">
        <f t="shared" si="1"/>
        <v>-0.48175367410171471</v>
      </c>
    </row>
    <row r="29" spans="2:4" x14ac:dyDescent="0.45">
      <c r="B29" s="1">
        <v>19</v>
      </c>
      <c r="C29" s="9">
        <f t="shared" si="0"/>
        <v>0.77051324277578859</v>
      </c>
      <c r="D29" s="2">
        <f t="shared" si="1"/>
        <v>-0.63742398974869052</v>
      </c>
    </row>
    <row r="30" spans="2:4" x14ac:dyDescent="0.45">
      <c r="B30" s="1">
        <v>20</v>
      </c>
      <c r="C30" s="9">
        <f t="shared" si="0"/>
        <v>0.30901699437494889</v>
      </c>
      <c r="D30" s="2">
        <f t="shared" si="1"/>
        <v>0.95105651629515309</v>
      </c>
    </row>
    <row r="31" spans="2:4" x14ac:dyDescent="0.45">
      <c r="B31" s="1">
        <v>21</v>
      </c>
      <c r="C31" s="9">
        <f t="shared" si="0"/>
        <v>-0.99802672842827167</v>
      </c>
      <c r="D31" s="2">
        <f t="shared" si="1"/>
        <v>-6.2790519529311431E-2</v>
      </c>
    </row>
    <row r="32" spans="2:4" x14ac:dyDescent="0.45">
      <c r="B32" s="1">
        <v>22</v>
      </c>
      <c r="C32" s="9">
        <f t="shared" si="0"/>
        <v>0.42577929156506406</v>
      </c>
      <c r="D32" s="2">
        <f t="shared" si="1"/>
        <v>-0.90482705246602357</v>
      </c>
    </row>
    <row r="33" spans="2:4" x14ac:dyDescent="0.45">
      <c r="B33" s="1">
        <v>23</v>
      </c>
      <c r="C33" s="9">
        <f t="shared" si="0"/>
        <v>0.68454710592869072</v>
      </c>
      <c r="D33" s="2">
        <f t="shared" si="1"/>
        <v>0.72896862742140955</v>
      </c>
    </row>
    <row r="34" spans="2:4" x14ac:dyDescent="0.45">
      <c r="B34" s="1">
        <v>24</v>
      </c>
      <c r="C34" s="9">
        <f t="shared" si="0"/>
        <v>-0.92977648588825024</v>
      </c>
      <c r="D34" s="2">
        <f t="shared" si="1"/>
        <v>0.36812455268468097</v>
      </c>
    </row>
    <row r="35" spans="2:4" x14ac:dyDescent="0.45">
      <c r="B35" s="1">
        <v>25</v>
      </c>
      <c r="C35" s="9">
        <f t="shared" si="0"/>
        <v>-3.6753369445086115E-15</v>
      </c>
      <c r="D35" s="2">
        <f t="shared" si="1"/>
        <v>-1</v>
      </c>
    </row>
    <row r="36" spans="2:4" x14ac:dyDescent="0.45">
      <c r="B36" s="1">
        <v>26</v>
      </c>
      <c r="C36" s="9">
        <f t="shared" si="0"/>
        <v>0.92977648588825035</v>
      </c>
      <c r="D36" s="2">
        <f t="shared" si="1"/>
        <v>0.36812455268468075</v>
      </c>
    </row>
    <row r="37" spans="2:4" x14ac:dyDescent="0.45">
      <c r="B37" s="1">
        <v>27</v>
      </c>
      <c r="C37" s="9">
        <f t="shared" si="0"/>
        <v>-0.6845471059286905</v>
      </c>
      <c r="D37" s="2">
        <f t="shared" si="1"/>
        <v>0.72896862742140978</v>
      </c>
    </row>
    <row r="38" spans="2:4" x14ac:dyDescent="0.45">
      <c r="B38" s="1">
        <v>28</v>
      </c>
      <c r="C38" s="9">
        <f t="shared" si="0"/>
        <v>-0.42577929156507716</v>
      </c>
      <c r="D38" s="2">
        <f t="shared" si="1"/>
        <v>-0.90482705246601747</v>
      </c>
    </row>
    <row r="39" spans="2:4" x14ac:dyDescent="0.45">
      <c r="B39" s="1">
        <v>29</v>
      </c>
      <c r="C39" s="9">
        <f t="shared" si="0"/>
        <v>0.99802672842827167</v>
      </c>
      <c r="D39" s="2">
        <f t="shared" si="1"/>
        <v>-6.2790519529311681E-2</v>
      </c>
    </row>
    <row r="40" spans="2:4" x14ac:dyDescent="0.45">
      <c r="B40" s="1">
        <v>30</v>
      </c>
      <c r="C40" s="9">
        <f t="shared" si="0"/>
        <v>-0.3090169943749419</v>
      </c>
      <c r="D40" s="2">
        <f t="shared" si="1"/>
        <v>0.95105651629515542</v>
      </c>
    </row>
    <row r="41" spans="2:4" x14ac:dyDescent="0.45">
      <c r="B41" s="1">
        <v>31</v>
      </c>
      <c r="C41" s="9">
        <f t="shared" si="0"/>
        <v>-0.7705132427757887</v>
      </c>
      <c r="D41" s="2">
        <f t="shared" si="1"/>
        <v>-0.63742398974869041</v>
      </c>
    </row>
    <row r="42" spans="2:4" x14ac:dyDescent="0.45">
      <c r="B42" s="1">
        <v>32</v>
      </c>
      <c r="C42" s="9">
        <f t="shared" si="0"/>
        <v>0.87630668004386036</v>
      </c>
      <c r="D42" s="2">
        <f t="shared" si="1"/>
        <v>-0.48175367410172115</v>
      </c>
    </row>
    <row r="43" spans="2:4" x14ac:dyDescent="0.45">
      <c r="B43" s="1">
        <v>33</v>
      </c>
      <c r="C43" s="9">
        <f t="shared" si="0"/>
        <v>0.12533323356430426</v>
      </c>
      <c r="D43" s="2">
        <f t="shared" si="1"/>
        <v>0.99211470131447788</v>
      </c>
    </row>
    <row r="44" spans="2:4" x14ac:dyDescent="0.45">
      <c r="B44" s="1">
        <v>34</v>
      </c>
      <c r="C44" s="9">
        <f t="shared" si="0"/>
        <v>-0.96858316112863119</v>
      </c>
      <c r="D44" s="2">
        <f t="shared" si="1"/>
        <v>-0.24868988716485435</v>
      </c>
    </row>
    <row r="45" spans="2:4" x14ac:dyDescent="0.45">
      <c r="B45" s="1">
        <v>35</v>
      </c>
      <c r="C45" s="9">
        <f t="shared" si="0"/>
        <v>0.58778525229246092</v>
      </c>
      <c r="D45" s="2">
        <f t="shared" si="1"/>
        <v>-0.80901699437495633</v>
      </c>
    </row>
    <row r="46" spans="2:4" x14ac:dyDescent="0.45">
      <c r="B46" s="1">
        <v>36</v>
      </c>
      <c r="C46" s="9">
        <f t="shared" si="0"/>
        <v>0.53582679497899777</v>
      </c>
      <c r="D46" s="2">
        <f t="shared" si="1"/>
        <v>0.84432792550201441</v>
      </c>
    </row>
    <row r="47" spans="2:4" x14ac:dyDescent="0.45">
      <c r="B47" s="1">
        <v>37</v>
      </c>
      <c r="C47" s="9">
        <f t="shared" si="0"/>
        <v>-0.98228725072868839</v>
      </c>
      <c r="D47" s="2">
        <f t="shared" si="1"/>
        <v>0.18738131458572635</v>
      </c>
    </row>
    <row r="48" spans="2:4" x14ac:dyDescent="0.45">
      <c r="B48" s="1">
        <v>38</v>
      </c>
      <c r="C48" s="9">
        <f t="shared" si="0"/>
        <v>0.18738131458572249</v>
      </c>
      <c r="D48" s="2">
        <f t="shared" si="1"/>
        <v>-0.98228725072868905</v>
      </c>
    </row>
    <row r="49" spans="2:4" x14ac:dyDescent="0.45">
      <c r="B49" s="1">
        <v>39</v>
      </c>
      <c r="C49" s="9">
        <f t="shared" si="0"/>
        <v>0.84432792550201652</v>
      </c>
      <c r="D49" s="2">
        <f t="shared" si="1"/>
        <v>0.53582679497899444</v>
      </c>
    </row>
    <row r="50" spans="2:4" x14ac:dyDescent="0.45">
      <c r="B50" s="1">
        <v>40</v>
      </c>
      <c r="C50" s="9">
        <f t="shared" si="0"/>
        <v>-0.80901699437494567</v>
      </c>
      <c r="D50" s="2">
        <f t="shared" si="1"/>
        <v>0.58778525229247558</v>
      </c>
    </row>
    <row r="51" spans="2:4" x14ac:dyDescent="0.45">
      <c r="B51" s="1">
        <v>41</v>
      </c>
      <c r="C51" s="9">
        <f t="shared" si="0"/>
        <v>-0.24868988716485815</v>
      </c>
      <c r="D51" s="2">
        <f t="shared" si="1"/>
        <v>-0.9685831611286303</v>
      </c>
    </row>
    <row r="52" spans="2:4" x14ac:dyDescent="0.45">
      <c r="B52" s="1">
        <v>42</v>
      </c>
      <c r="C52" s="9">
        <f t="shared" si="0"/>
        <v>0.99211470131447832</v>
      </c>
      <c r="D52" s="2">
        <f t="shared" si="1"/>
        <v>0.12533323356430037</v>
      </c>
    </row>
    <row r="53" spans="2:4" x14ac:dyDescent="0.45">
      <c r="B53" s="1">
        <v>43</v>
      </c>
      <c r="C53" s="9">
        <f t="shared" si="0"/>
        <v>-0.48175367410171149</v>
      </c>
      <c r="D53" s="2">
        <f t="shared" si="1"/>
        <v>0.87630668004386569</v>
      </c>
    </row>
    <row r="54" spans="2:4" x14ac:dyDescent="0.45">
      <c r="B54" s="1">
        <v>44</v>
      </c>
      <c r="C54" s="9">
        <f t="shared" si="0"/>
        <v>-0.63742398974870429</v>
      </c>
      <c r="D54" s="2">
        <f t="shared" si="1"/>
        <v>-0.77051324277577715</v>
      </c>
    </row>
    <row r="55" spans="2:4" x14ac:dyDescent="0.45">
      <c r="B55" s="1">
        <v>45</v>
      </c>
      <c r="C55" s="9">
        <f t="shared" si="0"/>
        <v>0.95105651629515198</v>
      </c>
      <c r="D55" s="2">
        <f t="shared" si="1"/>
        <v>-0.30901699437495239</v>
      </c>
    </row>
    <row r="56" spans="2:4" x14ac:dyDescent="0.45">
      <c r="B56" s="1">
        <v>46</v>
      </c>
      <c r="C56" s="9">
        <f t="shared" si="0"/>
        <v>-6.2790519529307767E-2</v>
      </c>
      <c r="D56" s="2">
        <f t="shared" si="1"/>
        <v>0.99802672842827189</v>
      </c>
    </row>
    <row r="57" spans="2:4" x14ac:dyDescent="0.45">
      <c r="B57" s="1">
        <v>47</v>
      </c>
      <c r="C57" s="9">
        <f t="shared" si="0"/>
        <v>-0.90482705246601602</v>
      </c>
      <c r="D57" s="2">
        <f t="shared" si="1"/>
        <v>-0.42577929156508004</v>
      </c>
    </row>
    <row r="58" spans="2:4" x14ac:dyDescent="0.45">
      <c r="B58" s="1">
        <v>48</v>
      </c>
      <c r="C58" s="9">
        <f t="shared" si="0"/>
        <v>0.72896862742140711</v>
      </c>
      <c r="D58" s="2">
        <f t="shared" si="1"/>
        <v>-0.68454710592869339</v>
      </c>
    </row>
    <row r="59" spans="2:4" x14ac:dyDescent="0.45">
      <c r="B59" s="1">
        <v>49</v>
      </c>
      <c r="C59" s="9">
        <f t="shared" si="0"/>
        <v>0.36812455268468441</v>
      </c>
      <c r="D59" s="2">
        <f t="shared" si="1"/>
        <v>0.9297764858882489</v>
      </c>
    </row>
    <row r="60" spans="2:4" x14ac:dyDescent="0.45">
      <c r="B60" s="1">
        <v>50</v>
      </c>
      <c r="C60" s="9">
        <f t="shared" si="0"/>
        <v>-1</v>
      </c>
      <c r="D60" s="2">
        <f t="shared" si="1"/>
        <v>7.350673889017223E-15</v>
      </c>
    </row>
    <row r="61" spans="2:4" x14ac:dyDescent="0.45">
      <c r="B61" s="1">
        <v>51</v>
      </c>
      <c r="C61" s="9">
        <f t="shared" si="0"/>
        <v>0.36812455268468391</v>
      </c>
      <c r="D61" s="2">
        <f t="shared" si="1"/>
        <v>-0.92977648588824902</v>
      </c>
    </row>
    <row r="62" spans="2:4" x14ac:dyDescent="0.45">
      <c r="B62" s="1">
        <v>52</v>
      </c>
      <c r="C62" s="9">
        <f t="shared" si="0"/>
        <v>0.72896862742140744</v>
      </c>
      <c r="D62" s="2">
        <f t="shared" si="1"/>
        <v>0.68454710592869306</v>
      </c>
    </row>
    <row r="63" spans="2:4" x14ac:dyDescent="0.45">
      <c r="B63" s="1">
        <v>53</v>
      </c>
      <c r="C63" s="9">
        <f t="shared" si="0"/>
        <v>-0.9048270524660158</v>
      </c>
      <c r="D63" s="2">
        <f t="shared" si="1"/>
        <v>0.42577929156508049</v>
      </c>
    </row>
    <row r="64" spans="2:4" x14ac:dyDescent="0.45">
      <c r="B64" s="1">
        <v>54</v>
      </c>
      <c r="C64" s="9">
        <f t="shared" si="0"/>
        <v>-6.2790519529308253E-2</v>
      </c>
      <c r="D64" s="2">
        <f t="shared" si="1"/>
        <v>-0.99802672842827189</v>
      </c>
    </row>
    <row r="65" spans="2:4" x14ac:dyDescent="0.45">
      <c r="B65" s="1">
        <v>55</v>
      </c>
      <c r="C65" s="9">
        <f t="shared" si="0"/>
        <v>0.95105651629515209</v>
      </c>
      <c r="D65" s="2">
        <f t="shared" si="1"/>
        <v>0.30901699437495189</v>
      </c>
    </row>
    <row r="66" spans="2:4" x14ac:dyDescent="0.45">
      <c r="B66" s="1">
        <v>56</v>
      </c>
      <c r="C66" s="9">
        <f t="shared" si="0"/>
        <v>-0.63742398974868208</v>
      </c>
      <c r="D66" s="2">
        <f t="shared" si="1"/>
        <v>0.77051324277579558</v>
      </c>
    </row>
    <row r="67" spans="2:4" x14ac:dyDescent="0.45">
      <c r="B67" s="1">
        <v>57</v>
      </c>
      <c r="C67" s="9">
        <f t="shared" si="0"/>
        <v>-0.48175367410172437</v>
      </c>
      <c r="D67" s="2">
        <f t="shared" si="1"/>
        <v>-0.87630668004385859</v>
      </c>
    </row>
    <row r="68" spans="2:4" x14ac:dyDescent="0.45">
      <c r="B68" s="1">
        <v>58</v>
      </c>
      <c r="C68" s="9">
        <f t="shared" si="0"/>
        <v>0.99211470131447821</v>
      </c>
      <c r="D68" s="2">
        <f t="shared" si="1"/>
        <v>-0.12533323356430087</v>
      </c>
    </row>
    <row r="69" spans="2:4" x14ac:dyDescent="0.45">
      <c r="B69" s="1">
        <v>59</v>
      </c>
      <c r="C69" s="9">
        <f t="shared" si="0"/>
        <v>-0.24868988716484391</v>
      </c>
      <c r="D69" s="2">
        <f t="shared" si="1"/>
        <v>0.96858316112863396</v>
      </c>
    </row>
    <row r="70" spans="2:4" x14ac:dyDescent="0.45">
      <c r="B70" s="1">
        <v>60</v>
      </c>
      <c r="C70" s="9">
        <f t="shared" si="0"/>
        <v>-0.80901699437495433</v>
      </c>
      <c r="D70" s="2">
        <f t="shared" si="1"/>
        <v>-0.5877852522924637</v>
      </c>
    </row>
    <row r="71" spans="2:4" x14ac:dyDescent="0.45">
      <c r="B71" s="1">
        <v>61</v>
      </c>
      <c r="C71" s="9">
        <f t="shared" si="0"/>
        <v>0.84432792550200864</v>
      </c>
      <c r="D71" s="2">
        <f t="shared" si="1"/>
        <v>-0.53582679497900687</v>
      </c>
    </row>
    <row r="72" spans="2:4" x14ac:dyDescent="0.45">
      <c r="B72" s="1">
        <v>62</v>
      </c>
      <c r="C72" s="9">
        <f t="shared" si="0"/>
        <v>0.18738131458572296</v>
      </c>
      <c r="D72" s="2">
        <f t="shared" si="1"/>
        <v>0.98228725072868894</v>
      </c>
    </row>
    <row r="73" spans="2:4" x14ac:dyDescent="0.45">
      <c r="B73" s="1">
        <v>63</v>
      </c>
      <c r="C73" s="9">
        <f t="shared" si="0"/>
        <v>-0.9822872507286885</v>
      </c>
      <c r="D73" s="2">
        <f t="shared" si="1"/>
        <v>-0.18738131458572585</v>
      </c>
    </row>
    <row r="74" spans="2:4" x14ac:dyDescent="0.45">
      <c r="B74" s="1">
        <v>64</v>
      </c>
      <c r="C74" s="9">
        <f t="shared" si="0"/>
        <v>0.53582679497898533</v>
      </c>
      <c r="D74" s="2">
        <f t="shared" si="1"/>
        <v>-0.84432792550202229</v>
      </c>
    </row>
    <row r="75" spans="2:4" x14ac:dyDescent="0.45">
      <c r="B75" s="1">
        <v>65</v>
      </c>
      <c r="C75" s="9">
        <f t="shared" ref="C75:C110" si="2">COS(2*PI()*B75*$G$9/100)</f>
        <v>0.5877852522924728</v>
      </c>
      <c r="D75" s="2">
        <f t="shared" ref="D75:D110" si="3">SIN(2*PI()*B75*$G$9/100)</f>
        <v>0.80901699437494767</v>
      </c>
    </row>
    <row r="76" spans="2:4" x14ac:dyDescent="0.45">
      <c r="B76" s="1">
        <v>66</v>
      </c>
      <c r="C76" s="9">
        <f t="shared" si="2"/>
        <v>-0.96858316112863108</v>
      </c>
      <c r="D76" s="2">
        <f t="shared" si="3"/>
        <v>0.24868988716485482</v>
      </c>
    </row>
    <row r="77" spans="2:4" x14ac:dyDescent="0.45">
      <c r="B77" s="1">
        <v>67</v>
      </c>
      <c r="C77" s="9">
        <f t="shared" si="2"/>
        <v>0.12533323356428969</v>
      </c>
      <c r="D77" s="2">
        <f t="shared" si="3"/>
        <v>-0.99211470131447965</v>
      </c>
    </row>
    <row r="78" spans="2:4" x14ac:dyDescent="0.45">
      <c r="B78" s="1">
        <v>68</v>
      </c>
      <c r="C78" s="9">
        <f t="shared" si="2"/>
        <v>0.87630668004386403</v>
      </c>
      <c r="D78" s="2">
        <f t="shared" si="3"/>
        <v>0.48175367410171449</v>
      </c>
    </row>
    <row r="79" spans="2:4" x14ac:dyDescent="0.45">
      <c r="B79" s="1">
        <v>69</v>
      </c>
      <c r="C79" s="9">
        <f t="shared" si="2"/>
        <v>-0.77051324277577937</v>
      </c>
      <c r="D79" s="2">
        <f t="shared" si="3"/>
        <v>0.63742398974870174</v>
      </c>
    </row>
    <row r="80" spans="2:4" x14ac:dyDescent="0.45">
      <c r="B80" s="1">
        <v>70</v>
      </c>
      <c r="C80" s="9">
        <f t="shared" si="2"/>
        <v>-0.30901699437497615</v>
      </c>
      <c r="D80" s="2">
        <f t="shared" si="3"/>
        <v>-0.95105651629514421</v>
      </c>
    </row>
    <row r="81" spans="2:4" x14ac:dyDescent="0.45">
      <c r="B81" s="1">
        <v>71</v>
      </c>
      <c r="C81" s="9">
        <f t="shared" si="2"/>
        <v>0.99802672842827078</v>
      </c>
      <c r="D81" s="2">
        <f t="shared" si="3"/>
        <v>6.2790519529325364E-2</v>
      </c>
    </row>
    <row r="82" spans="2:4" x14ac:dyDescent="0.45">
      <c r="B82" s="1">
        <v>72</v>
      </c>
      <c r="C82" s="9">
        <f t="shared" si="2"/>
        <v>-0.42577929156507027</v>
      </c>
      <c r="D82" s="2">
        <f t="shared" si="3"/>
        <v>0.90482705246602069</v>
      </c>
    </row>
    <row r="83" spans="2:4" x14ac:dyDescent="0.45">
      <c r="B83" s="1">
        <v>73</v>
      </c>
      <c r="C83" s="9">
        <f t="shared" si="2"/>
        <v>-0.68454710592870127</v>
      </c>
      <c r="D83" s="2">
        <f t="shared" si="3"/>
        <v>-0.72896862742139967</v>
      </c>
    </row>
    <row r="84" spans="2:4" x14ac:dyDescent="0.45">
      <c r="B84" s="1">
        <v>74</v>
      </c>
      <c r="C84" s="9">
        <f t="shared" si="2"/>
        <v>0.92977648588825013</v>
      </c>
      <c r="D84" s="2">
        <f t="shared" si="3"/>
        <v>-0.36812455268468119</v>
      </c>
    </row>
    <row r="85" spans="2:4" x14ac:dyDescent="0.45">
      <c r="B85" s="1">
        <v>75</v>
      </c>
      <c r="C85" s="9">
        <f t="shared" si="2"/>
        <v>1.8131438191126836E-14</v>
      </c>
      <c r="D85" s="2">
        <f t="shared" si="3"/>
        <v>1</v>
      </c>
    </row>
    <row r="86" spans="2:4" x14ac:dyDescent="0.45">
      <c r="B86" s="1">
        <v>76</v>
      </c>
      <c r="C86" s="9">
        <f t="shared" si="2"/>
        <v>-0.92977648588825301</v>
      </c>
      <c r="D86" s="2">
        <f t="shared" si="3"/>
        <v>-0.36812455268467392</v>
      </c>
    </row>
    <row r="87" spans="2:4" x14ac:dyDescent="0.45">
      <c r="B87" s="1">
        <v>77</v>
      </c>
      <c r="C87" s="9">
        <f t="shared" si="2"/>
        <v>0.6845471059286955</v>
      </c>
      <c r="D87" s="2">
        <f t="shared" si="3"/>
        <v>-0.72896862742140511</v>
      </c>
    </row>
    <row r="88" spans="2:4" x14ac:dyDescent="0.45">
      <c r="B88" s="1">
        <v>78</v>
      </c>
      <c r="C88" s="9">
        <f t="shared" si="2"/>
        <v>0.42577929156507738</v>
      </c>
      <c r="D88" s="2">
        <f t="shared" si="3"/>
        <v>0.90482705246601736</v>
      </c>
    </row>
    <row r="89" spans="2:4" x14ac:dyDescent="0.45">
      <c r="B89" s="1">
        <v>79</v>
      </c>
      <c r="C89" s="9">
        <f t="shared" si="2"/>
        <v>-0.99802672842827211</v>
      </c>
      <c r="D89" s="2">
        <f t="shared" si="3"/>
        <v>6.2790519529304825E-2</v>
      </c>
    </row>
    <row r="90" spans="2:4" x14ac:dyDescent="0.45">
      <c r="B90" s="1">
        <v>80</v>
      </c>
      <c r="C90" s="9">
        <f t="shared" si="2"/>
        <v>0.30901699437494162</v>
      </c>
      <c r="D90" s="2">
        <f t="shared" si="3"/>
        <v>-0.95105651629515542</v>
      </c>
    </row>
    <row r="91" spans="2:4" x14ac:dyDescent="0.45">
      <c r="B91" s="1">
        <v>81</v>
      </c>
      <c r="C91" s="9">
        <f t="shared" si="2"/>
        <v>0.77051324277580246</v>
      </c>
      <c r="D91" s="2">
        <f t="shared" si="3"/>
        <v>0.63742398974867376</v>
      </c>
    </row>
    <row r="92" spans="2:4" x14ac:dyDescent="0.45">
      <c r="B92" s="1">
        <v>82</v>
      </c>
      <c r="C92" s="9">
        <f t="shared" si="2"/>
        <v>-0.87630668004386025</v>
      </c>
      <c r="D92" s="2">
        <f t="shared" si="3"/>
        <v>0.48175367410172137</v>
      </c>
    </row>
    <row r="93" spans="2:4" x14ac:dyDescent="0.45">
      <c r="B93" s="1">
        <v>83</v>
      </c>
      <c r="C93" s="9">
        <f t="shared" si="2"/>
        <v>-0.12533323356429746</v>
      </c>
      <c r="D93" s="2">
        <f t="shared" si="3"/>
        <v>-0.99211470131447865</v>
      </c>
    </row>
    <row r="94" spans="2:4" x14ac:dyDescent="0.45">
      <c r="B94" s="1">
        <v>84</v>
      </c>
      <c r="C94" s="9">
        <f t="shared" si="2"/>
        <v>0.96858316112863307</v>
      </c>
      <c r="D94" s="2">
        <f t="shared" si="3"/>
        <v>0.24868988716484725</v>
      </c>
    </row>
    <row r="95" spans="2:4" x14ac:dyDescent="0.45">
      <c r="B95" s="1">
        <v>85</v>
      </c>
      <c r="C95" s="9">
        <f t="shared" si="2"/>
        <v>-0.58778525229245493</v>
      </c>
      <c r="D95" s="2">
        <f t="shared" si="3"/>
        <v>0.80901699437496066</v>
      </c>
    </row>
    <row r="96" spans="2:4" x14ac:dyDescent="0.45">
      <c r="B96" s="1">
        <v>86</v>
      </c>
      <c r="C96" s="9">
        <f t="shared" si="2"/>
        <v>-0.53582679497900398</v>
      </c>
      <c r="D96" s="2">
        <f t="shared" si="3"/>
        <v>-0.84432792550201041</v>
      </c>
    </row>
    <row r="97" spans="2:4" x14ac:dyDescent="0.45">
      <c r="B97" s="1">
        <v>87</v>
      </c>
      <c r="C97" s="9">
        <f t="shared" si="2"/>
        <v>0.98228725072868428</v>
      </c>
      <c r="D97" s="2">
        <f t="shared" si="3"/>
        <v>-0.18738131458574753</v>
      </c>
    </row>
    <row r="98" spans="2:4" x14ac:dyDescent="0.45">
      <c r="B98" s="1">
        <v>88</v>
      </c>
      <c r="C98" s="9">
        <f t="shared" si="2"/>
        <v>-0.18738131458568735</v>
      </c>
      <c r="D98" s="2">
        <f t="shared" si="3"/>
        <v>0.98228725072869583</v>
      </c>
    </row>
    <row r="99" spans="2:4" x14ac:dyDescent="0.45">
      <c r="B99" s="1">
        <v>89</v>
      </c>
      <c r="C99" s="9">
        <f t="shared" si="2"/>
        <v>-0.84432792550201285</v>
      </c>
      <c r="D99" s="2">
        <f t="shared" si="3"/>
        <v>-0.53582679497900021</v>
      </c>
    </row>
    <row r="100" spans="2:4" x14ac:dyDescent="0.45">
      <c r="B100" s="1">
        <v>90</v>
      </c>
      <c r="C100" s="9">
        <f t="shared" si="2"/>
        <v>0.80901699437494135</v>
      </c>
      <c r="D100" s="2">
        <f t="shared" si="3"/>
        <v>-0.58778525229248157</v>
      </c>
    </row>
    <row r="101" spans="2:4" x14ac:dyDescent="0.45">
      <c r="B101" s="1">
        <v>91</v>
      </c>
      <c r="C101" s="9">
        <f t="shared" si="2"/>
        <v>0.24868988716485149</v>
      </c>
      <c r="D101" s="2">
        <f t="shared" si="3"/>
        <v>0.96858316112863196</v>
      </c>
    </row>
    <row r="102" spans="2:4" x14ac:dyDescent="0.45">
      <c r="B102" s="1">
        <v>92</v>
      </c>
      <c r="C102" s="9">
        <f t="shared" si="2"/>
        <v>-0.99211470131447921</v>
      </c>
      <c r="D102" s="2">
        <f t="shared" si="3"/>
        <v>-0.12533323356429307</v>
      </c>
    </row>
    <row r="103" spans="2:4" x14ac:dyDescent="0.45">
      <c r="B103" s="1">
        <v>93</v>
      </c>
      <c r="C103" s="9">
        <f t="shared" si="2"/>
        <v>0.48175367410169256</v>
      </c>
      <c r="D103" s="2">
        <f t="shared" si="3"/>
        <v>-0.87630668004387602</v>
      </c>
    </row>
    <row r="104" spans="2:4" x14ac:dyDescent="0.45">
      <c r="B104" s="1">
        <v>94</v>
      </c>
      <c r="C104" s="9">
        <f t="shared" si="2"/>
        <v>0.6374239897486772</v>
      </c>
      <c r="D104" s="2">
        <f t="shared" si="3"/>
        <v>0.77051324277579958</v>
      </c>
    </row>
    <row r="105" spans="2:4" x14ac:dyDescent="0.45">
      <c r="B105" s="1">
        <v>95</v>
      </c>
      <c r="C105" s="9">
        <f t="shared" si="2"/>
        <v>-0.95105651629515409</v>
      </c>
      <c r="D105" s="2">
        <f t="shared" si="3"/>
        <v>0.30901699437494584</v>
      </c>
    </row>
    <row r="106" spans="2:4" x14ac:dyDescent="0.45">
      <c r="B106" s="1">
        <v>96</v>
      </c>
      <c r="C106" s="9">
        <f t="shared" si="2"/>
        <v>6.2790519529300426E-2</v>
      </c>
      <c r="D106" s="2">
        <f t="shared" si="3"/>
        <v>-0.99802672842827234</v>
      </c>
    </row>
    <row r="107" spans="2:4" x14ac:dyDescent="0.45">
      <c r="B107" s="1">
        <v>97</v>
      </c>
      <c r="C107" s="9">
        <f t="shared" si="2"/>
        <v>0.90482705246601913</v>
      </c>
      <c r="D107" s="2">
        <f t="shared" si="3"/>
        <v>0.42577929156507338</v>
      </c>
    </row>
    <row r="108" spans="2:4" x14ac:dyDescent="0.45">
      <c r="B108" s="1">
        <v>98</v>
      </c>
      <c r="C108" s="9">
        <f t="shared" si="2"/>
        <v>-0.728968627421402</v>
      </c>
      <c r="D108" s="2">
        <f t="shared" si="3"/>
        <v>0.68454710592869872</v>
      </c>
    </row>
    <row r="109" spans="2:4" x14ac:dyDescent="0.45">
      <c r="B109" s="1">
        <v>99</v>
      </c>
      <c r="C109" s="9">
        <f t="shared" si="2"/>
        <v>-0.36812455268467803</v>
      </c>
      <c r="D109" s="2">
        <f t="shared" si="3"/>
        <v>-0.92977648588825135</v>
      </c>
    </row>
    <row r="110" spans="2:4" ht="18.600000000000001" thickBot="1" x14ac:dyDescent="0.5">
      <c r="B110" s="3">
        <v>100</v>
      </c>
      <c r="C110" s="9">
        <f t="shared" si="2"/>
        <v>1</v>
      </c>
      <c r="D110" s="2">
        <f t="shared" si="3"/>
        <v>-1.4701347778034446E-14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D0BEE-0DBE-40F6-9F2D-8DD23257A9EA}">
  <dimension ref="B8:K210"/>
  <sheetViews>
    <sheetView workbookViewId="0">
      <selection activeCell="B9" sqref="B9"/>
    </sheetView>
  </sheetViews>
  <sheetFormatPr defaultRowHeight="18" x14ac:dyDescent="0.45"/>
  <sheetData>
    <row r="8" spans="2:11" ht="18.600000000000001" thickBot="1" x14ac:dyDescent="0.5">
      <c r="B8" s="12" t="s">
        <v>8</v>
      </c>
      <c r="H8" s="12" t="s">
        <v>9</v>
      </c>
    </row>
    <row r="9" spans="2:11" ht="18.600000000000001" thickBot="1" x14ac:dyDescent="0.5">
      <c r="B9" s="6" t="s">
        <v>4</v>
      </c>
      <c r="C9" s="8" t="s">
        <v>5</v>
      </c>
      <c r="D9" s="15" t="s">
        <v>6</v>
      </c>
      <c r="E9" s="8" t="s">
        <v>7</v>
      </c>
      <c r="H9" s="6" t="s">
        <v>4</v>
      </c>
      <c r="I9" s="8" t="s">
        <v>5</v>
      </c>
      <c r="J9" s="15" t="s">
        <v>6</v>
      </c>
      <c r="K9" s="8" t="s">
        <v>7</v>
      </c>
    </row>
    <row r="10" spans="2:11" x14ac:dyDescent="0.45">
      <c r="B10" s="1">
        <v>0</v>
      </c>
      <c r="C10" s="9">
        <f>0.05*B10</f>
        <v>0</v>
      </c>
      <c r="D10" s="13">
        <f>C10*COS(2*PI()*B10/50)</f>
        <v>0</v>
      </c>
      <c r="E10" s="9">
        <f>C10*SIN(2*PI()*B10/50)</f>
        <v>0</v>
      </c>
      <c r="H10" s="16">
        <v>0</v>
      </c>
      <c r="I10" s="17">
        <f>EXP(0.02*H10)</f>
        <v>1</v>
      </c>
      <c r="J10" s="18">
        <f>I10*COS(2*PI()*H10/50)</f>
        <v>1</v>
      </c>
      <c r="K10" s="17">
        <f>I10*SIN(2*PI()*H10/50)</f>
        <v>0</v>
      </c>
    </row>
    <row r="11" spans="2:11" x14ac:dyDescent="0.45">
      <c r="B11" s="1">
        <v>1</v>
      </c>
      <c r="C11" s="9"/>
      <c r="D11" s="13"/>
      <c r="E11" s="9"/>
      <c r="H11" s="1">
        <v>1</v>
      </c>
      <c r="I11" s="9"/>
      <c r="J11" s="13"/>
      <c r="K11" s="9"/>
    </row>
    <row r="12" spans="2:11" x14ac:dyDescent="0.45">
      <c r="B12" s="1">
        <v>2</v>
      </c>
      <c r="C12" s="9"/>
      <c r="D12" s="13"/>
      <c r="E12" s="9"/>
      <c r="H12" s="1">
        <v>2</v>
      </c>
      <c r="I12" s="9"/>
      <c r="J12" s="13"/>
      <c r="K12" s="9"/>
    </row>
    <row r="13" spans="2:11" x14ac:dyDescent="0.45">
      <c r="B13" s="1">
        <v>3</v>
      </c>
      <c r="C13" s="9"/>
      <c r="D13" s="13"/>
      <c r="E13" s="9"/>
      <c r="H13" s="1">
        <v>3</v>
      </c>
      <c r="I13" s="9"/>
      <c r="J13" s="13"/>
      <c r="K13" s="9"/>
    </row>
    <row r="14" spans="2:11" x14ac:dyDescent="0.45">
      <c r="B14" s="1">
        <v>4</v>
      </c>
      <c r="C14" s="9"/>
      <c r="D14" s="13"/>
      <c r="E14" s="9"/>
      <c r="H14" s="1">
        <v>4</v>
      </c>
      <c r="I14" s="9"/>
      <c r="J14" s="13"/>
      <c r="K14" s="9"/>
    </row>
    <row r="15" spans="2:11" x14ac:dyDescent="0.45">
      <c r="B15" s="1">
        <v>5</v>
      </c>
      <c r="C15" s="9"/>
      <c r="D15" s="13"/>
      <c r="E15" s="9"/>
      <c r="H15" s="1">
        <v>5</v>
      </c>
      <c r="I15" s="9"/>
      <c r="J15" s="13"/>
      <c r="K15" s="9"/>
    </row>
    <row r="16" spans="2:11" x14ac:dyDescent="0.45">
      <c r="B16" s="1">
        <v>6</v>
      </c>
      <c r="C16" s="9"/>
      <c r="D16" s="13"/>
      <c r="E16" s="9"/>
      <c r="H16" s="1">
        <v>6</v>
      </c>
      <c r="I16" s="9"/>
      <c r="J16" s="13"/>
      <c r="K16" s="9"/>
    </row>
    <row r="17" spans="2:11" x14ac:dyDescent="0.45">
      <c r="B17" s="1">
        <v>7</v>
      </c>
      <c r="C17" s="9"/>
      <c r="D17" s="13"/>
      <c r="E17" s="9"/>
      <c r="H17" s="1">
        <v>7</v>
      </c>
      <c r="I17" s="9"/>
      <c r="J17" s="13"/>
      <c r="K17" s="9"/>
    </row>
    <row r="18" spans="2:11" x14ac:dyDescent="0.45">
      <c r="B18" s="1">
        <v>8</v>
      </c>
      <c r="C18" s="9"/>
      <c r="D18" s="13"/>
      <c r="E18" s="9"/>
      <c r="H18" s="1">
        <v>8</v>
      </c>
      <c r="I18" s="9"/>
      <c r="J18" s="13"/>
      <c r="K18" s="9"/>
    </row>
    <row r="19" spans="2:11" x14ac:dyDescent="0.45">
      <c r="B19" s="1">
        <v>9</v>
      </c>
      <c r="C19" s="9"/>
      <c r="D19" s="13"/>
      <c r="E19" s="9"/>
      <c r="H19" s="1">
        <v>9</v>
      </c>
      <c r="I19" s="9"/>
      <c r="J19" s="13"/>
      <c r="K19" s="9"/>
    </row>
    <row r="20" spans="2:11" x14ac:dyDescent="0.45">
      <c r="B20" s="1">
        <v>10</v>
      </c>
      <c r="C20" s="9"/>
      <c r="D20" s="13"/>
      <c r="E20" s="9"/>
      <c r="H20" s="1">
        <v>10</v>
      </c>
      <c r="I20" s="9"/>
      <c r="J20" s="13"/>
      <c r="K20" s="9"/>
    </row>
    <row r="21" spans="2:11" x14ac:dyDescent="0.45">
      <c r="B21" s="1">
        <v>11</v>
      </c>
      <c r="C21" s="9"/>
      <c r="D21" s="13"/>
      <c r="E21" s="9"/>
      <c r="H21" s="1">
        <v>11</v>
      </c>
      <c r="I21" s="9"/>
      <c r="J21" s="13"/>
      <c r="K21" s="9"/>
    </row>
    <row r="22" spans="2:11" x14ac:dyDescent="0.45">
      <c r="B22" s="1">
        <v>12</v>
      </c>
      <c r="C22" s="9"/>
      <c r="D22" s="13"/>
      <c r="E22" s="9"/>
      <c r="H22" s="1">
        <v>12</v>
      </c>
      <c r="I22" s="9"/>
      <c r="J22" s="13"/>
      <c r="K22" s="9"/>
    </row>
    <row r="23" spans="2:11" x14ac:dyDescent="0.45">
      <c r="B23" s="1">
        <v>13</v>
      </c>
      <c r="C23" s="9"/>
      <c r="D23" s="13"/>
      <c r="E23" s="9"/>
      <c r="H23" s="1">
        <v>13</v>
      </c>
      <c r="I23" s="9"/>
      <c r="J23" s="13"/>
      <c r="K23" s="9"/>
    </row>
    <row r="24" spans="2:11" x14ac:dyDescent="0.45">
      <c r="B24" s="1">
        <v>14</v>
      </c>
      <c r="C24" s="9"/>
      <c r="D24" s="13"/>
      <c r="E24" s="9"/>
      <c r="H24" s="1">
        <v>14</v>
      </c>
      <c r="I24" s="9"/>
      <c r="J24" s="13"/>
      <c r="K24" s="9"/>
    </row>
    <row r="25" spans="2:11" x14ac:dyDescent="0.45">
      <c r="B25" s="1">
        <v>15</v>
      </c>
      <c r="C25" s="9"/>
      <c r="D25" s="13"/>
      <c r="E25" s="9"/>
      <c r="H25" s="1">
        <v>15</v>
      </c>
      <c r="I25" s="9"/>
      <c r="J25" s="13"/>
      <c r="K25" s="9"/>
    </row>
    <row r="26" spans="2:11" x14ac:dyDescent="0.45">
      <c r="B26" s="1">
        <v>16</v>
      </c>
      <c r="C26" s="9"/>
      <c r="D26" s="13"/>
      <c r="E26" s="9"/>
      <c r="H26" s="1">
        <v>16</v>
      </c>
      <c r="I26" s="9"/>
      <c r="J26" s="13"/>
      <c r="K26" s="9"/>
    </row>
    <row r="27" spans="2:11" x14ac:dyDescent="0.45">
      <c r="B27" s="1">
        <v>17</v>
      </c>
      <c r="C27" s="9"/>
      <c r="D27" s="13"/>
      <c r="E27" s="9"/>
      <c r="H27" s="1">
        <v>17</v>
      </c>
      <c r="I27" s="9"/>
      <c r="J27" s="13"/>
      <c r="K27" s="9"/>
    </row>
    <row r="28" spans="2:11" x14ac:dyDescent="0.45">
      <c r="B28" s="1">
        <v>18</v>
      </c>
      <c r="C28" s="9"/>
      <c r="D28" s="13"/>
      <c r="E28" s="9"/>
      <c r="H28" s="1">
        <v>18</v>
      </c>
      <c r="I28" s="9"/>
      <c r="J28" s="13"/>
      <c r="K28" s="9"/>
    </row>
    <row r="29" spans="2:11" x14ac:dyDescent="0.45">
      <c r="B29" s="1">
        <v>19</v>
      </c>
      <c r="C29" s="9"/>
      <c r="D29" s="13"/>
      <c r="E29" s="9"/>
      <c r="H29" s="1">
        <v>19</v>
      </c>
      <c r="I29" s="9"/>
      <c r="J29" s="13"/>
      <c r="K29" s="9"/>
    </row>
    <row r="30" spans="2:11" x14ac:dyDescent="0.45">
      <c r="B30" s="1">
        <v>20</v>
      </c>
      <c r="C30" s="9"/>
      <c r="D30" s="13"/>
      <c r="E30" s="9"/>
      <c r="H30" s="1">
        <v>20</v>
      </c>
      <c r="I30" s="9"/>
      <c r="J30" s="13"/>
      <c r="K30" s="9"/>
    </row>
    <row r="31" spans="2:11" x14ac:dyDescent="0.45">
      <c r="B31" s="1">
        <v>21</v>
      </c>
      <c r="C31" s="9"/>
      <c r="D31" s="13"/>
      <c r="E31" s="9"/>
      <c r="H31" s="1">
        <v>21</v>
      </c>
      <c r="I31" s="9"/>
      <c r="J31" s="13"/>
      <c r="K31" s="9"/>
    </row>
    <row r="32" spans="2:11" x14ac:dyDescent="0.45">
      <c r="B32" s="1">
        <v>22</v>
      </c>
      <c r="C32" s="9"/>
      <c r="D32" s="13"/>
      <c r="E32" s="9"/>
      <c r="H32" s="1">
        <v>22</v>
      </c>
      <c r="I32" s="9"/>
      <c r="J32" s="13"/>
      <c r="K32" s="9"/>
    </row>
    <row r="33" spans="2:11" x14ac:dyDescent="0.45">
      <c r="B33" s="1">
        <v>23</v>
      </c>
      <c r="C33" s="9"/>
      <c r="D33" s="13"/>
      <c r="E33" s="9"/>
      <c r="H33" s="1">
        <v>23</v>
      </c>
      <c r="I33" s="9"/>
      <c r="J33" s="13"/>
      <c r="K33" s="9"/>
    </row>
    <row r="34" spans="2:11" x14ac:dyDescent="0.45">
      <c r="B34" s="1">
        <v>24</v>
      </c>
      <c r="C34" s="9"/>
      <c r="D34" s="13"/>
      <c r="E34" s="9"/>
      <c r="H34" s="1">
        <v>24</v>
      </c>
      <c r="I34" s="9"/>
      <c r="J34" s="13"/>
      <c r="K34" s="9"/>
    </row>
    <row r="35" spans="2:11" x14ac:dyDescent="0.45">
      <c r="B35" s="1">
        <v>25</v>
      </c>
      <c r="C35" s="9"/>
      <c r="D35" s="13"/>
      <c r="E35" s="9"/>
      <c r="H35" s="1">
        <v>25</v>
      </c>
      <c r="I35" s="9"/>
      <c r="J35" s="13"/>
      <c r="K35" s="9"/>
    </row>
    <row r="36" spans="2:11" x14ac:dyDescent="0.45">
      <c r="B36" s="1">
        <v>26</v>
      </c>
      <c r="C36" s="9"/>
      <c r="D36" s="13"/>
      <c r="E36" s="9"/>
      <c r="H36" s="1">
        <v>26</v>
      </c>
      <c r="I36" s="9"/>
      <c r="J36" s="13"/>
      <c r="K36" s="9"/>
    </row>
    <row r="37" spans="2:11" x14ac:dyDescent="0.45">
      <c r="B37" s="1">
        <v>27</v>
      </c>
      <c r="C37" s="9"/>
      <c r="D37" s="13"/>
      <c r="E37" s="9"/>
      <c r="H37" s="1">
        <v>27</v>
      </c>
      <c r="I37" s="9"/>
      <c r="J37" s="13"/>
      <c r="K37" s="9"/>
    </row>
    <row r="38" spans="2:11" x14ac:dyDescent="0.45">
      <c r="B38" s="1">
        <v>28</v>
      </c>
      <c r="C38" s="9"/>
      <c r="D38" s="13"/>
      <c r="E38" s="9"/>
      <c r="H38" s="1">
        <v>28</v>
      </c>
      <c r="I38" s="9"/>
      <c r="J38" s="13"/>
      <c r="K38" s="9"/>
    </row>
    <row r="39" spans="2:11" x14ac:dyDescent="0.45">
      <c r="B39" s="1">
        <v>29</v>
      </c>
      <c r="C39" s="9"/>
      <c r="D39" s="13"/>
      <c r="E39" s="9"/>
      <c r="H39" s="1">
        <v>29</v>
      </c>
      <c r="I39" s="9"/>
      <c r="J39" s="13"/>
      <c r="K39" s="9"/>
    </row>
    <row r="40" spans="2:11" x14ac:dyDescent="0.45">
      <c r="B40" s="1">
        <v>30</v>
      </c>
      <c r="C40" s="9"/>
      <c r="D40" s="13"/>
      <c r="E40" s="9"/>
      <c r="H40" s="1">
        <v>30</v>
      </c>
      <c r="I40" s="9"/>
      <c r="J40" s="13"/>
      <c r="K40" s="9"/>
    </row>
    <row r="41" spans="2:11" x14ac:dyDescent="0.45">
      <c r="B41" s="1">
        <v>31</v>
      </c>
      <c r="C41" s="9"/>
      <c r="D41" s="13"/>
      <c r="E41" s="9"/>
      <c r="H41" s="1">
        <v>31</v>
      </c>
      <c r="I41" s="9"/>
      <c r="J41" s="13"/>
      <c r="K41" s="9"/>
    </row>
    <row r="42" spans="2:11" x14ac:dyDescent="0.45">
      <c r="B42" s="1">
        <v>32</v>
      </c>
      <c r="C42" s="9"/>
      <c r="D42" s="13"/>
      <c r="E42" s="9"/>
      <c r="H42" s="1">
        <v>32</v>
      </c>
      <c r="I42" s="9"/>
      <c r="J42" s="13"/>
      <c r="K42" s="9"/>
    </row>
    <row r="43" spans="2:11" x14ac:dyDescent="0.45">
      <c r="B43" s="1">
        <v>33</v>
      </c>
      <c r="C43" s="9"/>
      <c r="D43" s="13"/>
      <c r="E43" s="9"/>
      <c r="H43" s="1">
        <v>33</v>
      </c>
      <c r="I43" s="9"/>
      <c r="J43" s="13"/>
      <c r="K43" s="9"/>
    </row>
    <row r="44" spans="2:11" x14ac:dyDescent="0.45">
      <c r="B44" s="1">
        <v>34</v>
      </c>
      <c r="C44" s="9"/>
      <c r="D44" s="13"/>
      <c r="E44" s="9"/>
      <c r="H44" s="1">
        <v>34</v>
      </c>
      <c r="I44" s="9"/>
      <c r="J44" s="13"/>
      <c r="K44" s="9"/>
    </row>
    <row r="45" spans="2:11" x14ac:dyDescent="0.45">
      <c r="B45" s="1">
        <v>35</v>
      </c>
      <c r="C45" s="9"/>
      <c r="D45" s="13"/>
      <c r="E45" s="9"/>
      <c r="H45" s="1">
        <v>35</v>
      </c>
      <c r="I45" s="9"/>
      <c r="J45" s="13"/>
      <c r="K45" s="9"/>
    </row>
    <row r="46" spans="2:11" x14ac:dyDescent="0.45">
      <c r="B46" s="1">
        <v>36</v>
      </c>
      <c r="C46" s="9"/>
      <c r="D46" s="13"/>
      <c r="E46" s="9"/>
      <c r="H46" s="1">
        <v>36</v>
      </c>
      <c r="I46" s="9"/>
      <c r="J46" s="13"/>
      <c r="K46" s="9"/>
    </row>
    <row r="47" spans="2:11" x14ac:dyDescent="0.45">
      <c r="B47" s="1">
        <v>37</v>
      </c>
      <c r="C47" s="9"/>
      <c r="D47" s="13"/>
      <c r="E47" s="9"/>
      <c r="H47" s="1">
        <v>37</v>
      </c>
      <c r="I47" s="9"/>
      <c r="J47" s="13"/>
      <c r="K47" s="9"/>
    </row>
    <row r="48" spans="2:11" x14ac:dyDescent="0.45">
      <c r="B48" s="1">
        <v>38</v>
      </c>
      <c r="C48" s="9"/>
      <c r="D48" s="13"/>
      <c r="E48" s="9"/>
      <c r="H48" s="1">
        <v>38</v>
      </c>
      <c r="I48" s="9"/>
      <c r="J48" s="13"/>
      <c r="K48" s="9"/>
    </row>
    <row r="49" spans="2:11" x14ac:dyDescent="0.45">
      <c r="B49" s="1">
        <v>39</v>
      </c>
      <c r="C49" s="9"/>
      <c r="D49" s="13"/>
      <c r="E49" s="9"/>
      <c r="H49" s="1">
        <v>39</v>
      </c>
      <c r="I49" s="9"/>
      <c r="J49" s="13"/>
      <c r="K49" s="9"/>
    </row>
    <row r="50" spans="2:11" x14ac:dyDescent="0.45">
      <c r="B50" s="1">
        <v>40</v>
      </c>
      <c r="C50" s="9"/>
      <c r="D50" s="13"/>
      <c r="E50" s="9"/>
      <c r="H50" s="1">
        <v>40</v>
      </c>
      <c r="I50" s="9"/>
      <c r="J50" s="13"/>
      <c r="K50" s="9"/>
    </row>
    <row r="51" spans="2:11" x14ac:dyDescent="0.45">
      <c r="B51" s="1">
        <v>41</v>
      </c>
      <c r="C51" s="9"/>
      <c r="D51" s="13"/>
      <c r="E51" s="9"/>
      <c r="H51" s="1">
        <v>41</v>
      </c>
      <c r="I51" s="9"/>
      <c r="J51" s="13"/>
      <c r="K51" s="9"/>
    </row>
    <row r="52" spans="2:11" x14ac:dyDescent="0.45">
      <c r="B52" s="1">
        <v>42</v>
      </c>
      <c r="C52" s="9"/>
      <c r="D52" s="13"/>
      <c r="E52" s="9"/>
      <c r="H52" s="1">
        <v>42</v>
      </c>
      <c r="I52" s="9"/>
      <c r="J52" s="13"/>
      <c r="K52" s="9"/>
    </row>
    <row r="53" spans="2:11" x14ac:dyDescent="0.45">
      <c r="B53" s="1">
        <v>43</v>
      </c>
      <c r="C53" s="9"/>
      <c r="D53" s="13"/>
      <c r="E53" s="9"/>
      <c r="H53" s="1">
        <v>43</v>
      </c>
      <c r="I53" s="9"/>
      <c r="J53" s="13"/>
      <c r="K53" s="9"/>
    </row>
    <row r="54" spans="2:11" x14ac:dyDescent="0.45">
      <c r="B54" s="1">
        <v>44</v>
      </c>
      <c r="C54" s="9"/>
      <c r="D54" s="13"/>
      <c r="E54" s="9"/>
      <c r="H54" s="1">
        <v>44</v>
      </c>
      <c r="I54" s="9"/>
      <c r="J54" s="13"/>
      <c r="K54" s="9"/>
    </row>
    <row r="55" spans="2:11" x14ac:dyDescent="0.45">
      <c r="B55" s="1">
        <v>45</v>
      </c>
      <c r="C55" s="9"/>
      <c r="D55" s="13"/>
      <c r="E55" s="9"/>
      <c r="H55" s="1">
        <v>45</v>
      </c>
      <c r="I55" s="9"/>
      <c r="J55" s="13"/>
      <c r="K55" s="9"/>
    </row>
    <row r="56" spans="2:11" x14ac:dyDescent="0.45">
      <c r="B56" s="1">
        <v>46</v>
      </c>
      <c r="C56" s="9"/>
      <c r="D56" s="13"/>
      <c r="E56" s="9"/>
      <c r="H56" s="1">
        <v>46</v>
      </c>
      <c r="I56" s="9"/>
      <c r="J56" s="13"/>
      <c r="K56" s="9"/>
    </row>
    <row r="57" spans="2:11" x14ac:dyDescent="0.45">
      <c r="B57" s="1">
        <v>47</v>
      </c>
      <c r="C57" s="9"/>
      <c r="D57" s="13"/>
      <c r="E57" s="9"/>
      <c r="H57" s="1">
        <v>47</v>
      </c>
      <c r="I57" s="9"/>
      <c r="J57" s="13"/>
      <c r="K57" s="9"/>
    </row>
    <row r="58" spans="2:11" x14ac:dyDescent="0.45">
      <c r="B58" s="1">
        <v>48</v>
      </c>
      <c r="C58" s="9"/>
      <c r="D58" s="13"/>
      <c r="E58" s="9"/>
      <c r="H58" s="1">
        <v>48</v>
      </c>
      <c r="I58" s="9"/>
      <c r="J58" s="13"/>
      <c r="K58" s="9"/>
    </row>
    <row r="59" spans="2:11" x14ac:dyDescent="0.45">
      <c r="B59" s="1">
        <v>49</v>
      </c>
      <c r="C59" s="9"/>
      <c r="D59" s="13"/>
      <c r="E59" s="9"/>
      <c r="H59" s="1">
        <v>49</v>
      </c>
      <c r="I59" s="9"/>
      <c r="J59" s="13"/>
      <c r="K59" s="9"/>
    </row>
    <row r="60" spans="2:11" x14ac:dyDescent="0.45">
      <c r="B60" s="1">
        <v>50</v>
      </c>
      <c r="C60" s="9"/>
      <c r="D60" s="13"/>
      <c r="E60" s="9"/>
      <c r="H60" s="1">
        <v>50</v>
      </c>
      <c r="I60" s="9"/>
      <c r="J60" s="13"/>
      <c r="K60" s="9"/>
    </row>
    <row r="61" spans="2:11" x14ac:dyDescent="0.45">
      <c r="B61" s="1">
        <v>51</v>
      </c>
      <c r="C61" s="9"/>
      <c r="D61" s="13"/>
      <c r="E61" s="9"/>
      <c r="H61" s="1">
        <v>51</v>
      </c>
      <c r="I61" s="9"/>
      <c r="J61" s="13"/>
      <c r="K61" s="9"/>
    </row>
    <row r="62" spans="2:11" x14ac:dyDescent="0.45">
      <c r="B62" s="1">
        <v>52</v>
      </c>
      <c r="C62" s="9"/>
      <c r="D62" s="13"/>
      <c r="E62" s="9"/>
      <c r="H62" s="1">
        <v>52</v>
      </c>
      <c r="I62" s="9"/>
      <c r="J62" s="13"/>
      <c r="K62" s="9"/>
    </row>
    <row r="63" spans="2:11" x14ac:dyDescent="0.45">
      <c r="B63" s="1">
        <v>53</v>
      </c>
      <c r="C63" s="9"/>
      <c r="D63" s="13"/>
      <c r="E63" s="9"/>
      <c r="H63" s="1">
        <v>53</v>
      </c>
      <c r="I63" s="9"/>
      <c r="J63" s="13"/>
      <c r="K63" s="9"/>
    </row>
    <row r="64" spans="2:11" x14ac:dyDescent="0.45">
      <c r="B64" s="1">
        <v>54</v>
      </c>
      <c r="C64" s="9"/>
      <c r="D64" s="13"/>
      <c r="E64" s="9"/>
      <c r="H64" s="1">
        <v>54</v>
      </c>
      <c r="I64" s="9"/>
      <c r="J64" s="13"/>
      <c r="K64" s="9"/>
    </row>
    <row r="65" spans="2:11" x14ac:dyDescent="0.45">
      <c r="B65" s="1">
        <v>55</v>
      </c>
      <c r="C65" s="9"/>
      <c r="D65" s="13"/>
      <c r="E65" s="9"/>
      <c r="H65" s="1">
        <v>55</v>
      </c>
      <c r="I65" s="9"/>
      <c r="J65" s="13"/>
      <c r="K65" s="9"/>
    </row>
    <row r="66" spans="2:11" x14ac:dyDescent="0.45">
      <c r="B66" s="1">
        <v>56</v>
      </c>
      <c r="C66" s="9"/>
      <c r="D66" s="13"/>
      <c r="E66" s="9"/>
      <c r="H66" s="1">
        <v>56</v>
      </c>
      <c r="I66" s="9"/>
      <c r="J66" s="13"/>
      <c r="K66" s="9"/>
    </row>
    <row r="67" spans="2:11" x14ac:dyDescent="0.45">
      <c r="B67" s="1">
        <v>57</v>
      </c>
      <c r="C67" s="9"/>
      <c r="D67" s="13"/>
      <c r="E67" s="9"/>
      <c r="H67" s="1">
        <v>57</v>
      </c>
      <c r="I67" s="9"/>
      <c r="J67" s="13"/>
      <c r="K67" s="9"/>
    </row>
    <row r="68" spans="2:11" x14ac:dyDescent="0.45">
      <c r="B68" s="1">
        <v>58</v>
      </c>
      <c r="C68" s="9"/>
      <c r="D68" s="13"/>
      <c r="E68" s="9"/>
      <c r="H68" s="1">
        <v>58</v>
      </c>
      <c r="I68" s="9"/>
      <c r="J68" s="13"/>
      <c r="K68" s="9"/>
    </row>
    <row r="69" spans="2:11" x14ac:dyDescent="0.45">
      <c r="B69" s="1">
        <v>59</v>
      </c>
      <c r="C69" s="9"/>
      <c r="D69" s="13"/>
      <c r="E69" s="9"/>
      <c r="H69" s="1">
        <v>59</v>
      </c>
      <c r="I69" s="9"/>
      <c r="J69" s="13"/>
      <c r="K69" s="9"/>
    </row>
    <row r="70" spans="2:11" x14ac:dyDescent="0.45">
      <c r="B70" s="1">
        <v>60</v>
      </c>
      <c r="C70" s="9"/>
      <c r="D70" s="13"/>
      <c r="E70" s="9"/>
      <c r="H70" s="1">
        <v>60</v>
      </c>
      <c r="I70" s="9"/>
      <c r="J70" s="13"/>
      <c r="K70" s="9"/>
    </row>
    <row r="71" spans="2:11" x14ac:dyDescent="0.45">
      <c r="B71" s="1">
        <v>61</v>
      </c>
      <c r="C71" s="9"/>
      <c r="D71" s="13"/>
      <c r="E71" s="9"/>
      <c r="H71" s="1">
        <v>61</v>
      </c>
      <c r="I71" s="9"/>
      <c r="J71" s="13"/>
      <c r="K71" s="9"/>
    </row>
    <row r="72" spans="2:11" x14ac:dyDescent="0.45">
      <c r="B72" s="1">
        <v>62</v>
      </c>
      <c r="C72" s="9"/>
      <c r="D72" s="13"/>
      <c r="E72" s="9"/>
      <c r="H72" s="1">
        <v>62</v>
      </c>
      <c r="I72" s="9"/>
      <c r="J72" s="13"/>
      <c r="K72" s="9"/>
    </row>
    <row r="73" spans="2:11" x14ac:dyDescent="0.45">
      <c r="B73" s="1">
        <v>63</v>
      </c>
      <c r="C73" s="9"/>
      <c r="D73" s="13"/>
      <c r="E73" s="9"/>
      <c r="H73" s="1">
        <v>63</v>
      </c>
      <c r="I73" s="9"/>
      <c r="J73" s="13"/>
      <c r="K73" s="9"/>
    </row>
    <row r="74" spans="2:11" x14ac:dyDescent="0.45">
      <c r="B74" s="1">
        <v>64</v>
      </c>
      <c r="C74" s="9"/>
      <c r="D74" s="13"/>
      <c r="E74" s="9"/>
      <c r="H74" s="1">
        <v>64</v>
      </c>
      <c r="I74" s="9"/>
      <c r="J74" s="13"/>
      <c r="K74" s="9"/>
    </row>
    <row r="75" spans="2:11" x14ac:dyDescent="0.45">
      <c r="B75" s="1">
        <v>65</v>
      </c>
      <c r="C75" s="9"/>
      <c r="D75" s="13"/>
      <c r="E75" s="9"/>
      <c r="H75" s="1">
        <v>65</v>
      </c>
      <c r="I75" s="9"/>
      <c r="J75" s="13"/>
      <c r="K75" s="9"/>
    </row>
    <row r="76" spans="2:11" x14ac:dyDescent="0.45">
      <c r="B76" s="1">
        <v>66</v>
      </c>
      <c r="C76" s="9"/>
      <c r="D76" s="13"/>
      <c r="E76" s="9"/>
      <c r="H76" s="1">
        <v>66</v>
      </c>
      <c r="I76" s="9"/>
      <c r="J76" s="13"/>
      <c r="K76" s="9"/>
    </row>
    <row r="77" spans="2:11" x14ac:dyDescent="0.45">
      <c r="B77" s="1">
        <v>67</v>
      </c>
      <c r="C77" s="9"/>
      <c r="D77" s="13"/>
      <c r="E77" s="9"/>
      <c r="H77" s="1">
        <v>67</v>
      </c>
      <c r="I77" s="9"/>
      <c r="J77" s="13"/>
      <c r="K77" s="9"/>
    </row>
    <row r="78" spans="2:11" x14ac:dyDescent="0.45">
      <c r="B78" s="1">
        <v>68</v>
      </c>
      <c r="C78" s="9"/>
      <c r="D78" s="13"/>
      <c r="E78" s="9"/>
      <c r="H78" s="1">
        <v>68</v>
      </c>
      <c r="I78" s="9"/>
      <c r="J78" s="13"/>
      <c r="K78" s="9"/>
    </row>
    <row r="79" spans="2:11" x14ac:dyDescent="0.45">
      <c r="B79" s="1">
        <v>69</v>
      </c>
      <c r="C79" s="9"/>
      <c r="D79" s="13"/>
      <c r="E79" s="9"/>
      <c r="H79" s="1">
        <v>69</v>
      </c>
      <c r="I79" s="9"/>
      <c r="J79" s="13"/>
      <c r="K79" s="9"/>
    </row>
    <row r="80" spans="2:11" x14ac:dyDescent="0.45">
      <c r="B80" s="1">
        <v>70</v>
      </c>
      <c r="C80" s="9"/>
      <c r="D80" s="13"/>
      <c r="E80" s="9"/>
      <c r="H80" s="1">
        <v>70</v>
      </c>
      <c r="I80" s="9"/>
      <c r="J80" s="13"/>
      <c r="K80" s="9"/>
    </row>
    <row r="81" spans="2:11" x14ac:dyDescent="0.45">
      <c r="B81" s="1">
        <v>71</v>
      </c>
      <c r="C81" s="9"/>
      <c r="D81" s="13"/>
      <c r="E81" s="9"/>
      <c r="H81" s="1">
        <v>71</v>
      </c>
      <c r="I81" s="9"/>
      <c r="J81" s="13"/>
      <c r="K81" s="9"/>
    </row>
    <row r="82" spans="2:11" x14ac:dyDescent="0.45">
      <c r="B82" s="1">
        <v>72</v>
      </c>
      <c r="C82" s="9"/>
      <c r="D82" s="13"/>
      <c r="E82" s="9"/>
      <c r="H82" s="1">
        <v>72</v>
      </c>
      <c r="I82" s="9"/>
      <c r="J82" s="13"/>
      <c r="K82" s="9"/>
    </row>
    <row r="83" spans="2:11" x14ac:dyDescent="0.45">
      <c r="B83" s="1">
        <v>73</v>
      </c>
      <c r="C83" s="9"/>
      <c r="D83" s="13"/>
      <c r="E83" s="9"/>
      <c r="H83" s="1">
        <v>73</v>
      </c>
      <c r="I83" s="9"/>
      <c r="J83" s="13"/>
      <c r="K83" s="9"/>
    </row>
    <row r="84" spans="2:11" x14ac:dyDescent="0.45">
      <c r="B84" s="1">
        <v>74</v>
      </c>
      <c r="C84" s="9"/>
      <c r="D84" s="13"/>
      <c r="E84" s="9"/>
      <c r="H84" s="1">
        <v>74</v>
      </c>
      <c r="I84" s="9"/>
      <c r="J84" s="13"/>
      <c r="K84" s="9"/>
    </row>
    <row r="85" spans="2:11" x14ac:dyDescent="0.45">
      <c r="B85" s="1">
        <v>75</v>
      </c>
      <c r="C85" s="9"/>
      <c r="D85" s="13"/>
      <c r="E85" s="9"/>
      <c r="H85" s="1">
        <v>75</v>
      </c>
      <c r="I85" s="9"/>
      <c r="J85" s="13"/>
      <c r="K85" s="9"/>
    </row>
    <row r="86" spans="2:11" x14ac:dyDescent="0.45">
      <c r="B86" s="1">
        <v>76</v>
      </c>
      <c r="C86" s="9"/>
      <c r="D86" s="13"/>
      <c r="E86" s="9"/>
      <c r="H86" s="1">
        <v>76</v>
      </c>
      <c r="I86" s="9"/>
      <c r="J86" s="13"/>
      <c r="K86" s="9"/>
    </row>
    <row r="87" spans="2:11" x14ac:dyDescent="0.45">
      <c r="B87" s="1">
        <v>77</v>
      </c>
      <c r="C87" s="9"/>
      <c r="D87" s="13"/>
      <c r="E87" s="9"/>
      <c r="H87" s="1">
        <v>77</v>
      </c>
      <c r="I87" s="9"/>
      <c r="J87" s="13"/>
      <c r="K87" s="9"/>
    </row>
    <row r="88" spans="2:11" x14ac:dyDescent="0.45">
      <c r="B88" s="1">
        <v>78</v>
      </c>
      <c r="C88" s="9"/>
      <c r="D88" s="13"/>
      <c r="E88" s="9"/>
      <c r="H88" s="1">
        <v>78</v>
      </c>
      <c r="I88" s="9"/>
      <c r="J88" s="13"/>
      <c r="K88" s="9"/>
    </row>
    <row r="89" spans="2:11" x14ac:dyDescent="0.45">
      <c r="B89" s="1">
        <v>79</v>
      </c>
      <c r="C89" s="9"/>
      <c r="D89" s="13"/>
      <c r="E89" s="9"/>
      <c r="H89" s="1">
        <v>79</v>
      </c>
      <c r="I89" s="9"/>
      <c r="J89" s="13"/>
      <c r="K89" s="9"/>
    </row>
    <row r="90" spans="2:11" x14ac:dyDescent="0.45">
      <c r="B90" s="1">
        <v>80</v>
      </c>
      <c r="C90" s="9"/>
      <c r="D90" s="13"/>
      <c r="E90" s="9"/>
      <c r="H90" s="1">
        <v>80</v>
      </c>
      <c r="I90" s="9"/>
      <c r="J90" s="13"/>
      <c r="K90" s="9"/>
    </row>
    <row r="91" spans="2:11" x14ac:dyDescent="0.45">
      <c r="B91" s="1">
        <v>81</v>
      </c>
      <c r="C91" s="9"/>
      <c r="D91" s="13"/>
      <c r="E91" s="9"/>
      <c r="H91" s="1">
        <v>81</v>
      </c>
      <c r="I91" s="9"/>
      <c r="J91" s="13"/>
      <c r="K91" s="9"/>
    </row>
    <row r="92" spans="2:11" x14ac:dyDescent="0.45">
      <c r="B92" s="1">
        <v>82</v>
      </c>
      <c r="C92" s="9"/>
      <c r="D92" s="13"/>
      <c r="E92" s="9"/>
      <c r="H92" s="1">
        <v>82</v>
      </c>
      <c r="I92" s="9"/>
      <c r="J92" s="13"/>
      <c r="K92" s="9"/>
    </row>
    <row r="93" spans="2:11" x14ac:dyDescent="0.45">
      <c r="B93" s="1">
        <v>83</v>
      </c>
      <c r="C93" s="9"/>
      <c r="D93" s="13"/>
      <c r="E93" s="9"/>
      <c r="H93" s="1">
        <v>83</v>
      </c>
      <c r="I93" s="9"/>
      <c r="J93" s="13"/>
      <c r="K93" s="9"/>
    </row>
    <row r="94" spans="2:11" x14ac:dyDescent="0.45">
      <c r="B94" s="1">
        <v>84</v>
      </c>
      <c r="C94" s="9"/>
      <c r="D94" s="13"/>
      <c r="E94" s="9"/>
      <c r="H94" s="1">
        <v>84</v>
      </c>
      <c r="I94" s="9"/>
      <c r="J94" s="13"/>
      <c r="K94" s="9"/>
    </row>
    <row r="95" spans="2:11" x14ac:dyDescent="0.45">
      <c r="B95" s="1">
        <v>85</v>
      </c>
      <c r="C95" s="9"/>
      <c r="D95" s="13"/>
      <c r="E95" s="9"/>
      <c r="H95" s="1">
        <v>85</v>
      </c>
      <c r="I95" s="9"/>
      <c r="J95" s="13"/>
      <c r="K95" s="9"/>
    </row>
    <row r="96" spans="2:11" x14ac:dyDescent="0.45">
      <c r="B96" s="1">
        <v>86</v>
      </c>
      <c r="C96" s="9"/>
      <c r="D96" s="13"/>
      <c r="E96" s="9"/>
      <c r="H96" s="1">
        <v>86</v>
      </c>
      <c r="I96" s="9"/>
      <c r="J96" s="13"/>
      <c r="K96" s="9"/>
    </row>
    <row r="97" spans="2:11" x14ac:dyDescent="0.45">
      <c r="B97" s="1">
        <v>87</v>
      </c>
      <c r="C97" s="9"/>
      <c r="D97" s="13"/>
      <c r="E97" s="9"/>
      <c r="H97" s="1">
        <v>87</v>
      </c>
      <c r="I97" s="9"/>
      <c r="J97" s="13"/>
      <c r="K97" s="9"/>
    </row>
    <row r="98" spans="2:11" x14ac:dyDescent="0.45">
      <c r="B98" s="1">
        <v>88</v>
      </c>
      <c r="C98" s="9"/>
      <c r="D98" s="13"/>
      <c r="E98" s="9"/>
      <c r="H98" s="1">
        <v>88</v>
      </c>
      <c r="I98" s="9"/>
      <c r="J98" s="13"/>
      <c r="K98" s="9"/>
    </row>
    <row r="99" spans="2:11" x14ac:dyDescent="0.45">
      <c r="B99" s="1">
        <v>89</v>
      </c>
      <c r="C99" s="9"/>
      <c r="D99" s="13"/>
      <c r="E99" s="9"/>
      <c r="H99" s="1">
        <v>89</v>
      </c>
      <c r="I99" s="9"/>
      <c r="J99" s="13"/>
      <c r="K99" s="9"/>
    </row>
    <row r="100" spans="2:11" x14ac:dyDescent="0.45">
      <c r="B100" s="1">
        <v>90</v>
      </c>
      <c r="C100" s="9"/>
      <c r="D100" s="13"/>
      <c r="E100" s="9"/>
      <c r="H100" s="1">
        <v>90</v>
      </c>
      <c r="I100" s="9"/>
      <c r="J100" s="13"/>
      <c r="K100" s="9"/>
    </row>
    <row r="101" spans="2:11" x14ac:dyDescent="0.45">
      <c r="B101" s="1">
        <v>91</v>
      </c>
      <c r="C101" s="9"/>
      <c r="D101" s="13"/>
      <c r="E101" s="9"/>
      <c r="H101" s="1">
        <v>91</v>
      </c>
      <c r="I101" s="9"/>
      <c r="J101" s="13"/>
      <c r="K101" s="9"/>
    </row>
    <row r="102" spans="2:11" x14ac:dyDescent="0.45">
      <c r="B102" s="1">
        <v>92</v>
      </c>
      <c r="C102" s="9"/>
      <c r="D102" s="13"/>
      <c r="E102" s="9"/>
      <c r="H102" s="1">
        <v>92</v>
      </c>
      <c r="I102" s="9"/>
      <c r="J102" s="13"/>
      <c r="K102" s="9"/>
    </row>
    <row r="103" spans="2:11" x14ac:dyDescent="0.45">
      <c r="B103" s="1">
        <v>93</v>
      </c>
      <c r="C103" s="9"/>
      <c r="D103" s="13"/>
      <c r="E103" s="9"/>
      <c r="H103" s="1">
        <v>93</v>
      </c>
      <c r="I103" s="9"/>
      <c r="J103" s="13"/>
      <c r="K103" s="9"/>
    </row>
    <row r="104" spans="2:11" x14ac:dyDescent="0.45">
      <c r="B104" s="1">
        <v>94</v>
      </c>
      <c r="C104" s="9"/>
      <c r="D104" s="13"/>
      <c r="E104" s="9"/>
      <c r="H104" s="1">
        <v>94</v>
      </c>
      <c r="I104" s="9"/>
      <c r="J104" s="13"/>
      <c r="K104" s="9"/>
    </row>
    <row r="105" spans="2:11" x14ac:dyDescent="0.45">
      <c r="B105" s="1">
        <v>95</v>
      </c>
      <c r="C105" s="9"/>
      <c r="D105" s="13"/>
      <c r="E105" s="9"/>
      <c r="H105" s="1">
        <v>95</v>
      </c>
      <c r="I105" s="9"/>
      <c r="J105" s="13"/>
      <c r="K105" s="9"/>
    </row>
    <row r="106" spans="2:11" x14ac:dyDescent="0.45">
      <c r="B106" s="1">
        <v>96</v>
      </c>
      <c r="C106" s="9"/>
      <c r="D106" s="13"/>
      <c r="E106" s="9"/>
      <c r="H106" s="1">
        <v>96</v>
      </c>
      <c r="I106" s="9"/>
      <c r="J106" s="13"/>
      <c r="K106" s="9"/>
    </row>
    <row r="107" spans="2:11" x14ac:dyDescent="0.45">
      <c r="B107" s="1">
        <v>97</v>
      </c>
      <c r="C107" s="9"/>
      <c r="D107" s="13"/>
      <c r="E107" s="9"/>
      <c r="H107" s="1">
        <v>97</v>
      </c>
      <c r="I107" s="9"/>
      <c r="J107" s="13"/>
      <c r="K107" s="9"/>
    </row>
    <row r="108" spans="2:11" x14ac:dyDescent="0.45">
      <c r="B108" s="1">
        <v>98</v>
      </c>
      <c r="C108" s="9"/>
      <c r="D108" s="13"/>
      <c r="E108" s="9"/>
      <c r="H108" s="1">
        <v>98</v>
      </c>
      <c r="I108" s="9"/>
      <c r="J108" s="13"/>
      <c r="K108" s="9"/>
    </row>
    <row r="109" spans="2:11" x14ac:dyDescent="0.45">
      <c r="B109" s="1">
        <v>99</v>
      </c>
      <c r="C109" s="9"/>
      <c r="D109" s="13"/>
      <c r="E109" s="9"/>
      <c r="H109" s="1">
        <v>99</v>
      </c>
      <c r="I109" s="9"/>
      <c r="J109" s="13"/>
      <c r="K109" s="9"/>
    </row>
    <row r="110" spans="2:11" x14ac:dyDescent="0.45">
      <c r="B110" s="1">
        <v>100</v>
      </c>
      <c r="C110" s="9"/>
      <c r="D110" s="13"/>
      <c r="E110" s="9"/>
      <c r="H110" s="1">
        <v>100</v>
      </c>
      <c r="I110" s="9"/>
      <c r="J110" s="13"/>
      <c r="K110" s="9"/>
    </row>
    <row r="111" spans="2:11" x14ac:dyDescent="0.45">
      <c r="B111" s="1">
        <v>101</v>
      </c>
      <c r="C111" s="9"/>
      <c r="D111" s="13"/>
      <c r="E111" s="9"/>
      <c r="H111" s="1">
        <v>101</v>
      </c>
      <c r="I111" s="9"/>
      <c r="J111" s="13"/>
      <c r="K111" s="9"/>
    </row>
    <row r="112" spans="2:11" x14ac:dyDescent="0.45">
      <c r="B112" s="1">
        <v>102</v>
      </c>
      <c r="C112" s="9"/>
      <c r="D112" s="13"/>
      <c r="E112" s="9"/>
      <c r="H112" s="1">
        <v>102</v>
      </c>
      <c r="I112" s="9"/>
      <c r="J112" s="13"/>
      <c r="K112" s="9"/>
    </row>
    <row r="113" spans="2:11" x14ac:dyDescent="0.45">
      <c r="B113" s="1">
        <v>103</v>
      </c>
      <c r="C113" s="9"/>
      <c r="D113" s="13"/>
      <c r="E113" s="9"/>
      <c r="H113" s="1">
        <v>103</v>
      </c>
      <c r="I113" s="9"/>
      <c r="J113" s="13"/>
      <c r="K113" s="9"/>
    </row>
    <row r="114" spans="2:11" x14ac:dyDescent="0.45">
      <c r="B114" s="1">
        <v>104</v>
      </c>
      <c r="C114" s="9"/>
      <c r="D114" s="13"/>
      <c r="E114" s="9"/>
      <c r="H114" s="1">
        <v>104</v>
      </c>
      <c r="I114" s="9"/>
      <c r="J114" s="13"/>
      <c r="K114" s="9"/>
    </row>
    <row r="115" spans="2:11" x14ac:dyDescent="0.45">
      <c r="B115" s="1">
        <v>105</v>
      </c>
      <c r="C115" s="9"/>
      <c r="D115" s="13"/>
      <c r="E115" s="9"/>
      <c r="H115" s="1">
        <v>105</v>
      </c>
      <c r="I115" s="9"/>
      <c r="J115" s="13"/>
      <c r="K115" s="9"/>
    </row>
    <row r="116" spans="2:11" x14ac:dyDescent="0.45">
      <c r="B116" s="1">
        <v>106</v>
      </c>
      <c r="C116" s="9"/>
      <c r="D116" s="13"/>
      <c r="E116" s="9"/>
      <c r="H116" s="1">
        <v>106</v>
      </c>
      <c r="I116" s="9"/>
      <c r="J116" s="13"/>
      <c r="K116" s="9"/>
    </row>
    <row r="117" spans="2:11" x14ac:dyDescent="0.45">
      <c r="B117" s="1">
        <v>107</v>
      </c>
      <c r="C117" s="9"/>
      <c r="D117" s="13"/>
      <c r="E117" s="9"/>
      <c r="H117" s="1">
        <v>107</v>
      </c>
      <c r="I117" s="9"/>
      <c r="J117" s="13"/>
      <c r="K117" s="9"/>
    </row>
    <row r="118" spans="2:11" x14ac:dyDescent="0.45">
      <c r="B118" s="1">
        <v>108</v>
      </c>
      <c r="C118" s="9"/>
      <c r="D118" s="13"/>
      <c r="E118" s="9"/>
      <c r="H118" s="1">
        <v>108</v>
      </c>
      <c r="I118" s="9"/>
      <c r="J118" s="13"/>
      <c r="K118" s="9"/>
    </row>
    <row r="119" spans="2:11" x14ac:dyDescent="0.45">
      <c r="B119" s="1">
        <v>109</v>
      </c>
      <c r="C119" s="9"/>
      <c r="D119" s="13"/>
      <c r="E119" s="9"/>
      <c r="H119" s="1">
        <v>109</v>
      </c>
      <c r="I119" s="9"/>
      <c r="J119" s="13"/>
      <c r="K119" s="9"/>
    </row>
    <row r="120" spans="2:11" x14ac:dyDescent="0.45">
      <c r="B120" s="1">
        <v>110</v>
      </c>
      <c r="C120" s="9"/>
      <c r="D120" s="13"/>
      <c r="E120" s="9"/>
      <c r="H120" s="1">
        <v>110</v>
      </c>
      <c r="I120" s="9"/>
      <c r="J120" s="13"/>
      <c r="K120" s="9"/>
    </row>
    <row r="121" spans="2:11" x14ac:dyDescent="0.45">
      <c r="B121" s="1">
        <v>111</v>
      </c>
      <c r="C121" s="9"/>
      <c r="D121" s="13"/>
      <c r="E121" s="9"/>
      <c r="H121" s="1">
        <v>111</v>
      </c>
      <c r="I121" s="9"/>
      <c r="J121" s="13"/>
      <c r="K121" s="9"/>
    </row>
    <row r="122" spans="2:11" x14ac:dyDescent="0.45">
      <c r="B122" s="1">
        <v>112</v>
      </c>
      <c r="C122" s="9"/>
      <c r="D122" s="13"/>
      <c r="E122" s="9"/>
      <c r="H122" s="1">
        <v>112</v>
      </c>
      <c r="I122" s="9"/>
      <c r="J122" s="13"/>
      <c r="K122" s="9"/>
    </row>
    <row r="123" spans="2:11" x14ac:dyDescent="0.45">
      <c r="B123" s="1">
        <v>113</v>
      </c>
      <c r="C123" s="9"/>
      <c r="D123" s="13"/>
      <c r="E123" s="9"/>
      <c r="H123" s="1">
        <v>113</v>
      </c>
      <c r="I123" s="9"/>
      <c r="J123" s="13"/>
      <c r="K123" s="9"/>
    </row>
    <row r="124" spans="2:11" x14ac:dyDescent="0.45">
      <c r="B124" s="1">
        <v>114</v>
      </c>
      <c r="C124" s="9"/>
      <c r="D124" s="13"/>
      <c r="E124" s="9"/>
      <c r="H124" s="1">
        <v>114</v>
      </c>
      <c r="I124" s="9"/>
      <c r="J124" s="13"/>
      <c r="K124" s="9"/>
    </row>
    <row r="125" spans="2:11" x14ac:dyDescent="0.45">
      <c r="B125" s="1">
        <v>115</v>
      </c>
      <c r="C125" s="9"/>
      <c r="D125" s="13"/>
      <c r="E125" s="9"/>
      <c r="H125" s="1">
        <v>115</v>
      </c>
      <c r="I125" s="9"/>
      <c r="J125" s="13"/>
      <c r="K125" s="9"/>
    </row>
    <row r="126" spans="2:11" x14ac:dyDescent="0.45">
      <c r="B126" s="1">
        <v>116</v>
      </c>
      <c r="C126" s="9"/>
      <c r="D126" s="13"/>
      <c r="E126" s="9"/>
      <c r="H126" s="1">
        <v>116</v>
      </c>
      <c r="I126" s="9"/>
      <c r="J126" s="13"/>
      <c r="K126" s="9"/>
    </row>
    <row r="127" spans="2:11" x14ac:dyDescent="0.45">
      <c r="B127" s="1">
        <v>117</v>
      </c>
      <c r="C127" s="9"/>
      <c r="D127" s="13"/>
      <c r="E127" s="9"/>
      <c r="H127" s="1">
        <v>117</v>
      </c>
      <c r="I127" s="9"/>
      <c r="J127" s="13"/>
      <c r="K127" s="9"/>
    </row>
    <row r="128" spans="2:11" x14ac:dyDescent="0.45">
      <c r="B128" s="1">
        <v>118</v>
      </c>
      <c r="C128" s="9"/>
      <c r="D128" s="13"/>
      <c r="E128" s="9"/>
      <c r="H128" s="1">
        <v>118</v>
      </c>
      <c r="I128" s="9"/>
      <c r="J128" s="13"/>
      <c r="K128" s="9"/>
    </row>
    <row r="129" spans="2:11" x14ac:dyDescent="0.45">
      <c r="B129" s="1">
        <v>119</v>
      </c>
      <c r="C129" s="9"/>
      <c r="D129" s="13"/>
      <c r="E129" s="9"/>
      <c r="H129" s="1">
        <v>119</v>
      </c>
      <c r="I129" s="9"/>
      <c r="J129" s="13"/>
      <c r="K129" s="9"/>
    </row>
    <row r="130" spans="2:11" x14ac:dyDescent="0.45">
      <c r="B130" s="1">
        <v>120</v>
      </c>
      <c r="C130" s="9"/>
      <c r="D130" s="13"/>
      <c r="E130" s="9"/>
      <c r="H130" s="1">
        <v>120</v>
      </c>
      <c r="I130" s="9"/>
      <c r="J130" s="13"/>
      <c r="K130" s="9"/>
    </row>
    <row r="131" spans="2:11" x14ac:dyDescent="0.45">
      <c r="B131" s="1">
        <v>121</v>
      </c>
      <c r="C131" s="9"/>
      <c r="D131" s="13"/>
      <c r="E131" s="9"/>
      <c r="H131" s="1">
        <v>121</v>
      </c>
      <c r="I131" s="9"/>
      <c r="J131" s="13"/>
      <c r="K131" s="9"/>
    </row>
    <row r="132" spans="2:11" x14ac:dyDescent="0.45">
      <c r="B132" s="1">
        <v>122</v>
      </c>
      <c r="C132" s="9"/>
      <c r="D132" s="13"/>
      <c r="E132" s="9"/>
      <c r="H132" s="1">
        <v>122</v>
      </c>
      <c r="I132" s="9"/>
      <c r="J132" s="13"/>
      <c r="K132" s="9"/>
    </row>
    <row r="133" spans="2:11" x14ac:dyDescent="0.45">
      <c r="B133" s="1">
        <v>123</v>
      </c>
      <c r="C133" s="9"/>
      <c r="D133" s="13"/>
      <c r="E133" s="9"/>
      <c r="H133" s="1">
        <v>123</v>
      </c>
      <c r="I133" s="9"/>
      <c r="J133" s="13"/>
      <c r="K133" s="9"/>
    </row>
    <row r="134" spans="2:11" x14ac:dyDescent="0.45">
      <c r="B134" s="1">
        <v>124</v>
      </c>
      <c r="C134" s="9"/>
      <c r="D134" s="13"/>
      <c r="E134" s="9"/>
      <c r="H134" s="1">
        <v>124</v>
      </c>
      <c r="I134" s="9"/>
      <c r="J134" s="13"/>
      <c r="K134" s="9"/>
    </row>
    <row r="135" spans="2:11" x14ac:dyDescent="0.45">
      <c r="B135" s="1">
        <v>125</v>
      </c>
      <c r="C135" s="9"/>
      <c r="D135" s="13"/>
      <c r="E135" s="9"/>
      <c r="H135" s="1">
        <v>125</v>
      </c>
      <c r="I135" s="9"/>
      <c r="J135" s="13"/>
      <c r="K135" s="9"/>
    </row>
    <row r="136" spans="2:11" x14ac:dyDescent="0.45">
      <c r="B136" s="1">
        <v>126</v>
      </c>
      <c r="C136" s="9"/>
      <c r="D136" s="13"/>
      <c r="E136" s="9"/>
      <c r="H136" s="1">
        <v>126</v>
      </c>
      <c r="I136" s="9"/>
      <c r="J136" s="13"/>
      <c r="K136" s="9"/>
    </row>
    <row r="137" spans="2:11" x14ac:dyDescent="0.45">
      <c r="B137" s="1">
        <v>127</v>
      </c>
      <c r="C137" s="9"/>
      <c r="D137" s="13"/>
      <c r="E137" s="9"/>
      <c r="H137" s="1">
        <v>127</v>
      </c>
      <c r="I137" s="9"/>
      <c r="J137" s="13"/>
      <c r="K137" s="9"/>
    </row>
    <row r="138" spans="2:11" x14ac:dyDescent="0.45">
      <c r="B138" s="1">
        <v>128</v>
      </c>
      <c r="C138" s="9"/>
      <c r="D138" s="13"/>
      <c r="E138" s="9"/>
      <c r="H138" s="1">
        <v>128</v>
      </c>
      <c r="I138" s="9"/>
      <c r="J138" s="13"/>
      <c r="K138" s="9"/>
    </row>
    <row r="139" spans="2:11" x14ac:dyDescent="0.45">
      <c r="B139" s="1">
        <v>129</v>
      </c>
      <c r="C139" s="9"/>
      <c r="D139" s="13"/>
      <c r="E139" s="9"/>
      <c r="H139" s="1">
        <v>129</v>
      </c>
      <c r="I139" s="9"/>
      <c r="J139" s="13"/>
      <c r="K139" s="9"/>
    </row>
    <row r="140" spans="2:11" x14ac:dyDescent="0.45">
      <c r="B140" s="1">
        <v>130</v>
      </c>
      <c r="C140" s="9"/>
      <c r="D140" s="13"/>
      <c r="E140" s="9"/>
      <c r="H140" s="1">
        <v>130</v>
      </c>
      <c r="I140" s="9"/>
      <c r="J140" s="13"/>
      <c r="K140" s="9"/>
    </row>
    <row r="141" spans="2:11" x14ac:dyDescent="0.45">
      <c r="B141" s="1">
        <v>131</v>
      </c>
      <c r="C141" s="9"/>
      <c r="D141" s="13"/>
      <c r="E141" s="9"/>
      <c r="H141" s="1">
        <v>131</v>
      </c>
      <c r="I141" s="9"/>
      <c r="J141" s="13"/>
      <c r="K141" s="9"/>
    </row>
    <row r="142" spans="2:11" x14ac:dyDescent="0.45">
      <c r="B142" s="1">
        <v>132</v>
      </c>
      <c r="C142" s="9"/>
      <c r="D142" s="13"/>
      <c r="E142" s="9"/>
      <c r="H142" s="1">
        <v>132</v>
      </c>
      <c r="I142" s="9"/>
      <c r="J142" s="13"/>
      <c r="K142" s="9"/>
    </row>
    <row r="143" spans="2:11" x14ac:dyDescent="0.45">
      <c r="B143" s="1">
        <v>133</v>
      </c>
      <c r="C143" s="9"/>
      <c r="D143" s="13"/>
      <c r="E143" s="9"/>
      <c r="H143" s="1">
        <v>133</v>
      </c>
      <c r="I143" s="9"/>
      <c r="J143" s="13"/>
      <c r="K143" s="9"/>
    </row>
    <row r="144" spans="2:11" x14ac:dyDescent="0.45">
      <c r="B144" s="1">
        <v>134</v>
      </c>
      <c r="C144" s="9"/>
      <c r="D144" s="13"/>
      <c r="E144" s="9"/>
      <c r="H144" s="1">
        <v>134</v>
      </c>
      <c r="I144" s="9"/>
      <c r="J144" s="13"/>
      <c r="K144" s="9"/>
    </row>
    <row r="145" spans="2:11" x14ac:dyDescent="0.45">
      <c r="B145" s="1">
        <v>135</v>
      </c>
      <c r="C145" s="9"/>
      <c r="D145" s="13"/>
      <c r="E145" s="9"/>
      <c r="H145" s="1">
        <v>135</v>
      </c>
      <c r="I145" s="9"/>
      <c r="J145" s="13"/>
      <c r="K145" s="9"/>
    </row>
    <row r="146" spans="2:11" x14ac:dyDescent="0.45">
      <c r="B146" s="1">
        <v>136</v>
      </c>
      <c r="C146" s="9"/>
      <c r="D146" s="13"/>
      <c r="E146" s="9"/>
      <c r="H146" s="1">
        <v>136</v>
      </c>
      <c r="I146" s="9"/>
      <c r="J146" s="13"/>
      <c r="K146" s="9"/>
    </row>
    <row r="147" spans="2:11" x14ac:dyDescent="0.45">
      <c r="B147" s="1">
        <v>137</v>
      </c>
      <c r="C147" s="9"/>
      <c r="D147" s="13"/>
      <c r="E147" s="9"/>
      <c r="H147" s="1">
        <v>137</v>
      </c>
      <c r="I147" s="9"/>
      <c r="J147" s="13"/>
      <c r="K147" s="9"/>
    </row>
    <row r="148" spans="2:11" x14ac:dyDescent="0.45">
      <c r="B148" s="1">
        <v>138</v>
      </c>
      <c r="C148" s="9"/>
      <c r="D148" s="13"/>
      <c r="E148" s="9"/>
      <c r="H148" s="1">
        <v>138</v>
      </c>
      <c r="I148" s="9"/>
      <c r="J148" s="13"/>
      <c r="K148" s="9"/>
    </row>
    <row r="149" spans="2:11" x14ac:dyDescent="0.45">
      <c r="B149" s="1">
        <v>139</v>
      </c>
      <c r="C149" s="9"/>
      <c r="D149" s="13"/>
      <c r="E149" s="9"/>
      <c r="H149" s="1">
        <v>139</v>
      </c>
      <c r="I149" s="9"/>
      <c r="J149" s="13"/>
      <c r="K149" s="9"/>
    </row>
    <row r="150" spans="2:11" x14ac:dyDescent="0.45">
      <c r="B150" s="1">
        <v>140</v>
      </c>
      <c r="C150" s="9"/>
      <c r="D150" s="13"/>
      <c r="E150" s="9"/>
      <c r="H150" s="1">
        <v>140</v>
      </c>
      <c r="I150" s="9"/>
      <c r="J150" s="13"/>
      <c r="K150" s="9"/>
    </row>
    <row r="151" spans="2:11" x14ac:dyDescent="0.45">
      <c r="B151" s="1">
        <v>141</v>
      </c>
      <c r="C151" s="9"/>
      <c r="D151" s="13"/>
      <c r="E151" s="9"/>
      <c r="H151" s="1">
        <v>141</v>
      </c>
      <c r="I151" s="9"/>
      <c r="J151" s="13"/>
      <c r="K151" s="9"/>
    </row>
    <row r="152" spans="2:11" x14ac:dyDescent="0.45">
      <c r="B152" s="1">
        <v>142</v>
      </c>
      <c r="C152" s="9"/>
      <c r="D152" s="13"/>
      <c r="E152" s="9"/>
      <c r="H152" s="1">
        <v>142</v>
      </c>
      <c r="I152" s="9"/>
      <c r="J152" s="13"/>
      <c r="K152" s="9"/>
    </row>
    <row r="153" spans="2:11" x14ac:dyDescent="0.45">
      <c r="B153" s="1">
        <v>143</v>
      </c>
      <c r="C153" s="9"/>
      <c r="D153" s="13"/>
      <c r="E153" s="9"/>
      <c r="H153" s="1">
        <v>143</v>
      </c>
      <c r="I153" s="9"/>
      <c r="J153" s="13"/>
      <c r="K153" s="9"/>
    </row>
    <row r="154" spans="2:11" x14ac:dyDescent="0.45">
      <c r="B154" s="1">
        <v>144</v>
      </c>
      <c r="C154" s="9"/>
      <c r="D154" s="13"/>
      <c r="E154" s="9"/>
      <c r="H154" s="1">
        <v>144</v>
      </c>
      <c r="I154" s="9"/>
      <c r="J154" s="13"/>
      <c r="K154" s="9"/>
    </row>
    <row r="155" spans="2:11" x14ac:dyDescent="0.45">
      <c r="B155" s="1">
        <v>145</v>
      </c>
      <c r="C155" s="9"/>
      <c r="D155" s="13"/>
      <c r="E155" s="9"/>
      <c r="H155" s="1">
        <v>145</v>
      </c>
      <c r="I155" s="9"/>
      <c r="J155" s="13"/>
      <c r="K155" s="9"/>
    </row>
    <row r="156" spans="2:11" x14ac:dyDescent="0.45">
      <c r="B156" s="1">
        <v>146</v>
      </c>
      <c r="C156" s="9"/>
      <c r="D156" s="13"/>
      <c r="E156" s="9"/>
      <c r="H156" s="1">
        <v>146</v>
      </c>
      <c r="I156" s="9"/>
      <c r="J156" s="13"/>
      <c r="K156" s="9"/>
    </row>
    <row r="157" spans="2:11" x14ac:dyDescent="0.45">
      <c r="B157" s="1">
        <v>147</v>
      </c>
      <c r="C157" s="9"/>
      <c r="D157" s="13"/>
      <c r="E157" s="9"/>
      <c r="H157" s="1">
        <v>147</v>
      </c>
      <c r="I157" s="9"/>
      <c r="J157" s="13"/>
      <c r="K157" s="9"/>
    </row>
    <row r="158" spans="2:11" x14ac:dyDescent="0.45">
      <c r="B158" s="1">
        <v>148</v>
      </c>
      <c r="C158" s="9"/>
      <c r="D158" s="13"/>
      <c r="E158" s="9"/>
      <c r="H158" s="1">
        <v>148</v>
      </c>
      <c r="I158" s="9"/>
      <c r="J158" s="13"/>
      <c r="K158" s="9"/>
    </row>
    <row r="159" spans="2:11" x14ac:dyDescent="0.45">
      <c r="B159" s="1">
        <v>149</v>
      </c>
      <c r="C159" s="9"/>
      <c r="D159" s="13"/>
      <c r="E159" s="9"/>
      <c r="H159" s="1">
        <v>149</v>
      </c>
      <c r="I159" s="9"/>
      <c r="J159" s="13"/>
      <c r="K159" s="9"/>
    </row>
    <row r="160" spans="2:11" x14ac:dyDescent="0.45">
      <c r="B160" s="1">
        <v>150</v>
      </c>
      <c r="C160" s="9"/>
      <c r="D160" s="13"/>
      <c r="E160" s="9"/>
      <c r="H160" s="1">
        <v>150</v>
      </c>
      <c r="I160" s="9"/>
      <c r="J160" s="13"/>
      <c r="K160" s="9"/>
    </row>
    <row r="161" spans="2:11" x14ac:dyDescent="0.45">
      <c r="B161" s="1">
        <v>151</v>
      </c>
      <c r="C161" s="9"/>
      <c r="D161" s="13"/>
      <c r="E161" s="9"/>
      <c r="H161" s="1">
        <v>151</v>
      </c>
      <c r="I161" s="9"/>
      <c r="J161" s="13"/>
      <c r="K161" s="9"/>
    </row>
    <row r="162" spans="2:11" x14ac:dyDescent="0.45">
      <c r="B162" s="1">
        <v>152</v>
      </c>
      <c r="C162" s="9"/>
      <c r="D162" s="13"/>
      <c r="E162" s="9"/>
      <c r="H162" s="1">
        <v>152</v>
      </c>
      <c r="I162" s="9"/>
      <c r="J162" s="13"/>
      <c r="K162" s="9"/>
    </row>
    <row r="163" spans="2:11" x14ac:dyDescent="0.45">
      <c r="B163" s="1">
        <v>153</v>
      </c>
      <c r="C163" s="9"/>
      <c r="D163" s="13"/>
      <c r="E163" s="9"/>
      <c r="H163" s="1">
        <v>153</v>
      </c>
      <c r="I163" s="9"/>
      <c r="J163" s="13"/>
      <c r="K163" s="9"/>
    </row>
    <row r="164" spans="2:11" x14ac:dyDescent="0.45">
      <c r="B164" s="1">
        <v>154</v>
      </c>
      <c r="C164" s="9"/>
      <c r="D164" s="13"/>
      <c r="E164" s="9"/>
      <c r="H164" s="1">
        <v>154</v>
      </c>
      <c r="I164" s="9"/>
      <c r="J164" s="13"/>
      <c r="K164" s="9"/>
    </row>
    <row r="165" spans="2:11" x14ac:dyDescent="0.45">
      <c r="B165" s="1">
        <v>155</v>
      </c>
      <c r="C165" s="9"/>
      <c r="D165" s="13"/>
      <c r="E165" s="9"/>
      <c r="H165" s="1">
        <v>155</v>
      </c>
      <c r="I165" s="9"/>
      <c r="J165" s="13"/>
      <c r="K165" s="9"/>
    </row>
    <row r="166" spans="2:11" x14ac:dyDescent="0.45">
      <c r="B166" s="1">
        <v>156</v>
      </c>
      <c r="C166" s="9"/>
      <c r="D166" s="13"/>
      <c r="E166" s="9"/>
      <c r="H166" s="1">
        <v>156</v>
      </c>
      <c r="I166" s="9"/>
      <c r="J166" s="13"/>
      <c r="K166" s="9"/>
    </row>
    <row r="167" spans="2:11" x14ac:dyDescent="0.45">
      <c r="B167" s="1">
        <v>157</v>
      </c>
      <c r="C167" s="9"/>
      <c r="D167" s="13"/>
      <c r="E167" s="9"/>
      <c r="H167" s="1">
        <v>157</v>
      </c>
      <c r="I167" s="9"/>
      <c r="J167" s="13"/>
      <c r="K167" s="9"/>
    </row>
    <row r="168" spans="2:11" x14ac:dyDescent="0.45">
      <c r="B168" s="1">
        <v>158</v>
      </c>
      <c r="C168" s="9"/>
      <c r="D168" s="13"/>
      <c r="E168" s="9"/>
      <c r="H168" s="1">
        <v>158</v>
      </c>
      <c r="I168" s="9"/>
      <c r="J168" s="13"/>
      <c r="K168" s="9"/>
    </row>
    <row r="169" spans="2:11" x14ac:dyDescent="0.45">
      <c r="B169" s="1">
        <v>159</v>
      </c>
      <c r="C169" s="9"/>
      <c r="D169" s="13"/>
      <c r="E169" s="9"/>
      <c r="H169" s="1">
        <v>159</v>
      </c>
      <c r="I169" s="9"/>
      <c r="J169" s="13"/>
      <c r="K169" s="9"/>
    </row>
    <row r="170" spans="2:11" x14ac:dyDescent="0.45">
      <c r="B170" s="1">
        <v>160</v>
      </c>
      <c r="C170" s="9"/>
      <c r="D170" s="13"/>
      <c r="E170" s="9"/>
      <c r="H170" s="1">
        <v>160</v>
      </c>
      <c r="I170" s="9"/>
      <c r="J170" s="13"/>
      <c r="K170" s="9"/>
    </row>
    <row r="171" spans="2:11" x14ac:dyDescent="0.45">
      <c r="B171" s="1">
        <v>161</v>
      </c>
      <c r="C171" s="9"/>
      <c r="D171" s="13"/>
      <c r="E171" s="9"/>
      <c r="H171" s="1">
        <v>161</v>
      </c>
      <c r="I171" s="9"/>
      <c r="J171" s="13"/>
      <c r="K171" s="9"/>
    </row>
    <row r="172" spans="2:11" x14ac:dyDescent="0.45">
      <c r="B172" s="1">
        <v>162</v>
      </c>
      <c r="C172" s="9"/>
      <c r="D172" s="13"/>
      <c r="E172" s="9"/>
      <c r="H172" s="1">
        <v>162</v>
      </c>
      <c r="I172" s="9"/>
      <c r="J172" s="13"/>
      <c r="K172" s="9"/>
    </row>
    <row r="173" spans="2:11" x14ac:dyDescent="0.45">
      <c r="B173" s="1">
        <v>163</v>
      </c>
      <c r="C173" s="9"/>
      <c r="D173" s="13"/>
      <c r="E173" s="9"/>
      <c r="H173" s="1">
        <v>163</v>
      </c>
      <c r="I173" s="9"/>
      <c r="J173" s="13"/>
      <c r="K173" s="9"/>
    </row>
    <row r="174" spans="2:11" x14ac:dyDescent="0.45">
      <c r="B174" s="1">
        <v>164</v>
      </c>
      <c r="C174" s="9"/>
      <c r="D174" s="13"/>
      <c r="E174" s="9"/>
      <c r="H174" s="1">
        <v>164</v>
      </c>
      <c r="I174" s="9"/>
      <c r="J174" s="13"/>
      <c r="K174" s="9"/>
    </row>
    <row r="175" spans="2:11" x14ac:dyDescent="0.45">
      <c r="B175" s="1">
        <v>165</v>
      </c>
      <c r="C175" s="9"/>
      <c r="D175" s="13"/>
      <c r="E175" s="9"/>
      <c r="H175" s="1">
        <v>165</v>
      </c>
      <c r="I175" s="9"/>
      <c r="J175" s="13"/>
      <c r="K175" s="9"/>
    </row>
    <row r="176" spans="2:11" x14ac:dyDescent="0.45">
      <c r="B176" s="1">
        <v>166</v>
      </c>
      <c r="C176" s="9"/>
      <c r="D176" s="13"/>
      <c r="E176" s="9"/>
      <c r="H176" s="1">
        <v>166</v>
      </c>
      <c r="I176" s="9"/>
      <c r="J176" s="13"/>
      <c r="K176" s="9"/>
    </row>
    <row r="177" spans="2:11" x14ac:dyDescent="0.45">
      <c r="B177" s="1">
        <v>167</v>
      </c>
      <c r="C177" s="9"/>
      <c r="D177" s="13"/>
      <c r="E177" s="9"/>
      <c r="H177" s="1">
        <v>167</v>
      </c>
      <c r="I177" s="9"/>
      <c r="J177" s="13"/>
      <c r="K177" s="9"/>
    </row>
    <row r="178" spans="2:11" x14ac:dyDescent="0.45">
      <c r="B178" s="1">
        <v>168</v>
      </c>
      <c r="C178" s="9"/>
      <c r="D178" s="13"/>
      <c r="E178" s="9"/>
      <c r="H178" s="1">
        <v>168</v>
      </c>
      <c r="I178" s="9"/>
      <c r="J178" s="13"/>
      <c r="K178" s="9"/>
    </row>
    <row r="179" spans="2:11" x14ac:dyDescent="0.45">
      <c r="B179" s="1">
        <v>169</v>
      </c>
      <c r="C179" s="9"/>
      <c r="D179" s="13"/>
      <c r="E179" s="9"/>
      <c r="H179" s="1">
        <v>169</v>
      </c>
      <c r="I179" s="9"/>
      <c r="J179" s="13"/>
      <c r="K179" s="9"/>
    </row>
    <row r="180" spans="2:11" x14ac:dyDescent="0.45">
      <c r="B180" s="1">
        <v>170</v>
      </c>
      <c r="C180" s="9"/>
      <c r="D180" s="13"/>
      <c r="E180" s="9"/>
      <c r="H180" s="1">
        <v>170</v>
      </c>
      <c r="I180" s="9"/>
      <c r="J180" s="13"/>
      <c r="K180" s="9"/>
    </row>
    <row r="181" spans="2:11" x14ac:dyDescent="0.45">
      <c r="B181" s="1">
        <v>171</v>
      </c>
      <c r="C181" s="9"/>
      <c r="D181" s="13"/>
      <c r="E181" s="9"/>
      <c r="H181" s="1">
        <v>171</v>
      </c>
      <c r="I181" s="9"/>
      <c r="J181" s="13"/>
      <c r="K181" s="9"/>
    </row>
    <row r="182" spans="2:11" x14ac:dyDescent="0.45">
      <c r="B182" s="1">
        <v>172</v>
      </c>
      <c r="C182" s="9"/>
      <c r="D182" s="13"/>
      <c r="E182" s="9"/>
      <c r="H182" s="1">
        <v>172</v>
      </c>
      <c r="I182" s="9"/>
      <c r="J182" s="13"/>
      <c r="K182" s="9"/>
    </row>
    <row r="183" spans="2:11" x14ac:dyDescent="0.45">
      <c r="B183" s="1">
        <v>173</v>
      </c>
      <c r="C183" s="9"/>
      <c r="D183" s="13"/>
      <c r="E183" s="9"/>
      <c r="H183" s="1">
        <v>173</v>
      </c>
      <c r="I183" s="9"/>
      <c r="J183" s="13"/>
      <c r="K183" s="9"/>
    </row>
    <row r="184" spans="2:11" x14ac:dyDescent="0.45">
      <c r="B184" s="1">
        <v>174</v>
      </c>
      <c r="C184" s="9"/>
      <c r="D184" s="13"/>
      <c r="E184" s="9"/>
      <c r="H184" s="1">
        <v>174</v>
      </c>
      <c r="I184" s="9"/>
      <c r="J184" s="13"/>
      <c r="K184" s="9"/>
    </row>
    <row r="185" spans="2:11" x14ac:dyDescent="0.45">
      <c r="B185" s="1">
        <v>175</v>
      </c>
      <c r="C185" s="9"/>
      <c r="D185" s="13"/>
      <c r="E185" s="9"/>
      <c r="H185" s="1">
        <v>175</v>
      </c>
      <c r="I185" s="9"/>
      <c r="J185" s="13"/>
      <c r="K185" s="9"/>
    </row>
    <row r="186" spans="2:11" x14ac:dyDescent="0.45">
      <c r="B186" s="1">
        <v>176</v>
      </c>
      <c r="C186" s="9"/>
      <c r="D186" s="13"/>
      <c r="E186" s="9"/>
      <c r="H186" s="1">
        <v>176</v>
      </c>
      <c r="I186" s="9"/>
      <c r="J186" s="13"/>
      <c r="K186" s="9"/>
    </row>
    <row r="187" spans="2:11" x14ac:dyDescent="0.45">
      <c r="B187" s="1">
        <v>177</v>
      </c>
      <c r="C187" s="9"/>
      <c r="D187" s="13"/>
      <c r="E187" s="9"/>
      <c r="H187" s="1">
        <v>177</v>
      </c>
      <c r="I187" s="9"/>
      <c r="J187" s="13"/>
      <c r="K187" s="9"/>
    </row>
    <row r="188" spans="2:11" x14ac:dyDescent="0.45">
      <c r="B188" s="1">
        <v>178</v>
      </c>
      <c r="C188" s="9"/>
      <c r="D188" s="13"/>
      <c r="E188" s="9"/>
      <c r="H188" s="1">
        <v>178</v>
      </c>
      <c r="I188" s="9"/>
      <c r="J188" s="13"/>
      <c r="K188" s="9"/>
    </row>
    <row r="189" spans="2:11" x14ac:dyDescent="0.45">
      <c r="B189" s="1">
        <v>179</v>
      </c>
      <c r="C189" s="9"/>
      <c r="D189" s="13"/>
      <c r="E189" s="9"/>
      <c r="H189" s="1">
        <v>179</v>
      </c>
      <c r="I189" s="9"/>
      <c r="J189" s="13"/>
      <c r="K189" s="9"/>
    </row>
    <row r="190" spans="2:11" x14ac:dyDescent="0.45">
      <c r="B190" s="1">
        <v>180</v>
      </c>
      <c r="C190" s="9"/>
      <c r="D190" s="13"/>
      <c r="E190" s="9"/>
      <c r="H190" s="1">
        <v>180</v>
      </c>
      <c r="I190" s="9"/>
      <c r="J190" s="13"/>
      <c r="K190" s="9"/>
    </row>
    <row r="191" spans="2:11" x14ac:dyDescent="0.45">
      <c r="B191" s="1">
        <v>181</v>
      </c>
      <c r="C191" s="9"/>
      <c r="D191" s="13"/>
      <c r="E191" s="9"/>
      <c r="H191" s="1">
        <v>181</v>
      </c>
      <c r="I191" s="9"/>
      <c r="J191" s="13"/>
      <c r="K191" s="9"/>
    </row>
    <row r="192" spans="2:11" x14ac:dyDescent="0.45">
      <c r="B192" s="1">
        <v>182</v>
      </c>
      <c r="C192" s="9"/>
      <c r="D192" s="13"/>
      <c r="E192" s="9"/>
      <c r="H192" s="1">
        <v>182</v>
      </c>
      <c r="I192" s="9"/>
      <c r="J192" s="13"/>
      <c r="K192" s="9"/>
    </row>
    <row r="193" spans="2:11" x14ac:dyDescent="0.45">
      <c r="B193" s="1">
        <v>183</v>
      </c>
      <c r="C193" s="9"/>
      <c r="D193" s="13"/>
      <c r="E193" s="9"/>
      <c r="H193" s="1">
        <v>183</v>
      </c>
      <c r="I193" s="9"/>
      <c r="J193" s="13"/>
      <c r="K193" s="9"/>
    </row>
    <row r="194" spans="2:11" x14ac:dyDescent="0.45">
      <c r="B194" s="1">
        <v>184</v>
      </c>
      <c r="C194" s="9"/>
      <c r="D194" s="13"/>
      <c r="E194" s="9"/>
      <c r="H194" s="1">
        <v>184</v>
      </c>
      <c r="I194" s="9"/>
      <c r="J194" s="13"/>
      <c r="K194" s="9"/>
    </row>
    <row r="195" spans="2:11" x14ac:dyDescent="0.45">
      <c r="B195" s="1">
        <v>185</v>
      </c>
      <c r="C195" s="9"/>
      <c r="D195" s="13"/>
      <c r="E195" s="9"/>
      <c r="H195" s="1">
        <v>185</v>
      </c>
      <c r="I195" s="9"/>
      <c r="J195" s="13"/>
      <c r="K195" s="9"/>
    </row>
    <row r="196" spans="2:11" x14ac:dyDescent="0.45">
      <c r="B196" s="1">
        <v>186</v>
      </c>
      <c r="C196" s="9"/>
      <c r="D196" s="13"/>
      <c r="E196" s="9"/>
      <c r="H196" s="1">
        <v>186</v>
      </c>
      <c r="I196" s="9"/>
      <c r="J196" s="13"/>
      <c r="K196" s="9"/>
    </row>
    <row r="197" spans="2:11" x14ac:dyDescent="0.45">
      <c r="B197" s="1">
        <v>187</v>
      </c>
      <c r="C197" s="9"/>
      <c r="D197" s="13"/>
      <c r="E197" s="9"/>
      <c r="H197" s="1">
        <v>187</v>
      </c>
      <c r="I197" s="9"/>
      <c r="J197" s="13"/>
      <c r="K197" s="9"/>
    </row>
    <row r="198" spans="2:11" x14ac:dyDescent="0.45">
      <c r="B198" s="1">
        <v>188</v>
      </c>
      <c r="C198" s="9"/>
      <c r="D198" s="13"/>
      <c r="E198" s="9"/>
      <c r="H198" s="1">
        <v>188</v>
      </c>
      <c r="I198" s="9"/>
      <c r="J198" s="13"/>
      <c r="K198" s="9"/>
    </row>
    <row r="199" spans="2:11" x14ac:dyDescent="0.45">
      <c r="B199" s="1">
        <v>189</v>
      </c>
      <c r="C199" s="9"/>
      <c r="D199" s="13"/>
      <c r="E199" s="9"/>
      <c r="H199" s="1">
        <v>189</v>
      </c>
      <c r="I199" s="9"/>
      <c r="J199" s="13"/>
      <c r="K199" s="9"/>
    </row>
    <row r="200" spans="2:11" x14ac:dyDescent="0.45">
      <c r="B200" s="1">
        <v>190</v>
      </c>
      <c r="C200" s="9"/>
      <c r="D200" s="13"/>
      <c r="E200" s="9"/>
      <c r="H200" s="1">
        <v>190</v>
      </c>
      <c r="I200" s="9"/>
      <c r="J200" s="13"/>
      <c r="K200" s="9"/>
    </row>
    <row r="201" spans="2:11" x14ac:dyDescent="0.45">
      <c r="B201" s="1">
        <v>191</v>
      </c>
      <c r="C201" s="9"/>
      <c r="D201" s="13"/>
      <c r="E201" s="9"/>
      <c r="H201" s="1">
        <v>191</v>
      </c>
      <c r="I201" s="9"/>
      <c r="J201" s="13"/>
      <c r="K201" s="9"/>
    </row>
    <row r="202" spans="2:11" x14ac:dyDescent="0.45">
      <c r="B202" s="1">
        <v>192</v>
      </c>
      <c r="C202" s="9"/>
      <c r="D202" s="13"/>
      <c r="E202" s="9"/>
      <c r="H202" s="1">
        <v>192</v>
      </c>
      <c r="I202" s="9"/>
      <c r="J202" s="13"/>
      <c r="K202" s="9"/>
    </row>
    <row r="203" spans="2:11" x14ac:dyDescent="0.45">
      <c r="B203" s="1">
        <v>193</v>
      </c>
      <c r="C203" s="9"/>
      <c r="D203" s="13"/>
      <c r="E203" s="9"/>
      <c r="H203" s="1">
        <v>193</v>
      </c>
      <c r="I203" s="9"/>
      <c r="J203" s="13"/>
      <c r="K203" s="9"/>
    </row>
    <row r="204" spans="2:11" x14ac:dyDescent="0.45">
      <c r="B204" s="1">
        <v>194</v>
      </c>
      <c r="C204" s="9"/>
      <c r="D204" s="13"/>
      <c r="E204" s="9"/>
      <c r="H204" s="1">
        <v>194</v>
      </c>
      <c r="I204" s="9"/>
      <c r="J204" s="13"/>
      <c r="K204" s="9"/>
    </row>
    <row r="205" spans="2:11" x14ac:dyDescent="0.45">
      <c r="B205" s="1">
        <v>195</v>
      </c>
      <c r="C205" s="9"/>
      <c r="D205" s="13"/>
      <c r="E205" s="9"/>
      <c r="H205" s="1">
        <v>195</v>
      </c>
      <c r="I205" s="9"/>
      <c r="J205" s="13"/>
      <c r="K205" s="9"/>
    </row>
    <row r="206" spans="2:11" x14ac:dyDescent="0.45">
      <c r="B206" s="1">
        <v>196</v>
      </c>
      <c r="C206" s="9"/>
      <c r="D206" s="13"/>
      <c r="E206" s="9"/>
      <c r="H206" s="1">
        <v>196</v>
      </c>
      <c r="I206" s="9"/>
      <c r="J206" s="13"/>
      <c r="K206" s="9"/>
    </row>
    <row r="207" spans="2:11" x14ac:dyDescent="0.45">
      <c r="B207" s="1">
        <v>197</v>
      </c>
      <c r="C207" s="9"/>
      <c r="D207" s="13"/>
      <c r="E207" s="9"/>
      <c r="H207" s="1">
        <v>197</v>
      </c>
      <c r="I207" s="9"/>
      <c r="J207" s="13"/>
      <c r="K207" s="9"/>
    </row>
    <row r="208" spans="2:11" x14ac:dyDescent="0.45">
      <c r="B208" s="1">
        <v>198</v>
      </c>
      <c r="C208" s="9"/>
      <c r="D208" s="13"/>
      <c r="E208" s="9"/>
      <c r="H208" s="1">
        <v>198</v>
      </c>
      <c r="I208" s="9"/>
      <c r="J208" s="13"/>
      <c r="K208" s="9"/>
    </row>
    <row r="209" spans="2:11" x14ac:dyDescent="0.45">
      <c r="B209" s="1">
        <v>199</v>
      </c>
      <c r="C209" s="9"/>
      <c r="D209" s="13"/>
      <c r="E209" s="9"/>
      <c r="H209" s="1">
        <v>199</v>
      </c>
      <c r="I209" s="9"/>
      <c r="J209" s="13"/>
      <c r="K209" s="9"/>
    </row>
    <row r="210" spans="2:11" ht="18.600000000000001" thickBot="1" x14ac:dyDescent="0.5">
      <c r="B210" s="3">
        <v>200</v>
      </c>
      <c r="C210" s="10"/>
      <c r="D210" s="14"/>
      <c r="E210" s="10"/>
      <c r="H210" s="3">
        <v>200</v>
      </c>
      <c r="I210" s="10"/>
      <c r="J210" s="14"/>
      <c r="K210" s="10"/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B8E0-64D7-4FBD-8457-65423BC5E71E}">
  <dimension ref="B9:L111"/>
  <sheetViews>
    <sheetView workbookViewId="0">
      <selection activeCell="B10" sqref="B10"/>
    </sheetView>
  </sheetViews>
  <sheetFormatPr defaultRowHeight="18" x14ac:dyDescent="0.45"/>
  <cols>
    <col min="8" max="8" width="18.3984375" customWidth="1"/>
  </cols>
  <sheetData>
    <row r="9" spans="2:12" ht="18.600000000000001" thickBot="1" x14ac:dyDescent="0.5">
      <c r="C9" s="12" t="s">
        <v>13</v>
      </c>
      <c r="E9" s="12" t="s">
        <v>14</v>
      </c>
    </row>
    <row r="10" spans="2:12" ht="18.600000000000001" thickBot="1" x14ac:dyDescent="0.5">
      <c r="B10" s="6" t="s">
        <v>0</v>
      </c>
      <c r="C10" s="6" t="s">
        <v>10</v>
      </c>
      <c r="D10" s="8" t="s">
        <v>11</v>
      </c>
      <c r="E10" s="7" t="s">
        <v>10</v>
      </c>
      <c r="F10" s="7" t="s">
        <v>11</v>
      </c>
      <c r="H10" s="19" t="s">
        <v>13</v>
      </c>
      <c r="I10" s="19" t="s">
        <v>5</v>
      </c>
      <c r="J10" s="21">
        <v>1</v>
      </c>
      <c r="K10" s="20" t="s">
        <v>12</v>
      </c>
      <c r="L10" s="5">
        <v>3</v>
      </c>
    </row>
    <row r="11" spans="2:12" ht="18.600000000000001" thickBot="1" x14ac:dyDescent="0.5">
      <c r="B11" s="1">
        <v>0</v>
      </c>
      <c r="C11" s="1">
        <f>($J$10+$L$10)*COS(2*PI()*B11/100)-$J$10*COS(2*PI()*($J$10+$L$10)*B11/($J$10*100))</f>
        <v>3</v>
      </c>
      <c r="D11" s="9">
        <f>($J$10+$L$10)*SIN(2*PI()*B11/100)-$J$10*SIN(2*PI()*($J$10+$L$10)*B11/($J$10*100))</f>
        <v>0</v>
      </c>
      <c r="E11" s="2">
        <f>($L$12-$J$12)*COS(2*PI()*B11/100)+$J$12*COS(2*PI()*($L$12-$J$12)*B11/($J$12*100))</f>
        <v>3</v>
      </c>
      <c r="F11" s="2">
        <f>($L$12-$J$12)*SIN(2*PI()*B11/100)-$J$12*SIN(2*PI()*($L$12-$J$12)*B11/($J$12*100))</f>
        <v>0</v>
      </c>
    </row>
    <row r="12" spans="2:12" ht="18.600000000000001" thickBot="1" x14ac:dyDescent="0.5">
      <c r="B12" s="1">
        <v>1</v>
      </c>
      <c r="C12" s="1">
        <f>($J$10+$L$10)*COS(2*PI()*B12/100)-$J$10*COS(2*PI()*($J$10+$L$10)*B12/($J$10*100))</f>
        <v>3.0235237525844552</v>
      </c>
      <c r="D12" s="9">
        <f>($J$10+$L$10)*SIN(2*PI()*B12/100)-$J$10*SIN(2*PI()*($J$10+$L$10)*B12/($J$10*100))</f>
        <v>2.4721909523987007E-3</v>
      </c>
      <c r="E12" s="2">
        <f>($L$12-$J$12)*COS(2*PI()*B12/100)+$J$12*COS(2*PI()*($L$12-$J$12)*B12/($J$12*100))</f>
        <v>2.9881681581710211</v>
      </c>
      <c r="F12" s="2">
        <f>($L$12-$J$12)*SIN(2*PI()*B12/100)-$J$12*SIN(2*PI()*($L$12-$J$12)*B12/($J$12*100))</f>
        <v>2.4780549432248944E-4</v>
      </c>
      <c r="H12" s="19" t="s">
        <v>14</v>
      </c>
      <c r="I12" s="19" t="s">
        <v>5</v>
      </c>
      <c r="J12" s="21">
        <v>1</v>
      </c>
      <c r="K12" s="20" t="s">
        <v>12</v>
      </c>
      <c r="L12" s="5">
        <v>3</v>
      </c>
    </row>
    <row r="13" spans="2:12" x14ac:dyDescent="0.45">
      <c r="B13" s="1">
        <v>2</v>
      </c>
      <c r="C13" s="1">
        <f>($J$10+$L$10)*COS(2*PI()*B13/100)-$J$10*COS(2*PI()*($J$10+$L$10)*B13/($J$10*100))</f>
        <v>3.092152125214048</v>
      </c>
      <c r="D13" s="9">
        <f>($J$10+$L$10)*SIN(2*PI()*B13/100)-$J$10*SIN(2*PI()*($J$10+$L$10)*B13/($J$10*100))</f>
        <v>1.957926015550171E-2</v>
      </c>
      <c r="E13" s="2">
        <f>($L$12-$J$12)*COS(2*PI()*B13/100)+$J$12*COS(2*PI()*($L$12-$J$12)*B13/($J$12*100))</f>
        <v>2.952812563757587</v>
      </c>
      <c r="F13" s="2">
        <f>($L$12-$J$12)*SIN(2*PI()*B13/100)-$J$12*SIN(2*PI()*($L$12-$J$12)*B13/($J$12*100))</f>
        <v>1.9765799637537218E-3</v>
      </c>
    </row>
    <row r="14" spans="2:12" x14ac:dyDescent="0.45">
      <c r="B14" s="1">
        <v>3</v>
      </c>
      <c r="C14" s="1">
        <f>($J$10+$L$10)*COS(2*PI()*B14/100)-$J$10*COS(2*PI()*($J$10+$L$10)*B14/($J$10*100))</f>
        <v>3.2001803754933436</v>
      </c>
      <c r="D14" s="9">
        <f>($J$10+$L$10)*SIN(2*PI()*B14/100)-$J$10*SIN(2*PI()*($J$10+$L$10)*B14/($J$10*100))</f>
        <v>6.4978152414209789E-2</v>
      </c>
      <c r="E14" s="2">
        <f>($L$12-$J$12)*COS(2*PI()*B14/100)+$J$12*COS(2*PI()*($L$12-$J$12)*B14/($J$12*100))</f>
        <v>2.894350987345629</v>
      </c>
      <c r="F14" s="2">
        <f>($L$12-$J$12)*SIN(2*PI()*B14/100)-$J$12*SIN(2*PI()*($L$12-$J$12)*B14/($J$12*100))</f>
        <v>6.6380764867712827E-3</v>
      </c>
    </row>
    <row r="15" spans="2:12" x14ac:dyDescent="0.45">
      <c r="B15" s="1">
        <v>4</v>
      </c>
      <c r="C15" s="1">
        <f>($J$10+$L$10)*COS(2*PI()*B15/100)-$J$10*COS(2*PI()*($J$10+$L$10)*B15/($J$10*100))</f>
        <v>3.3385058495355278</v>
      </c>
      <c r="D15" s="9">
        <f>($J$10+$L$10)*SIN(2*PI()*B15/100)-$J$10*SIN(2*PI()*($J$10+$L$10)*B15/($J$10*100))</f>
        <v>0.1504316231574041</v>
      </c>
      <c r="E15" s="2">
        <f>($L$12-$J$12)*COS(2*PI()*B15/100)+$J$12*COS(2*PI()*($L$12-$J$12)*B15/($J$12*100))</f>
        <v>2.8134730023011256</v>
      </c>
      <c r="F15" s="2">
        <f>($L$12-$J$12)*SIN(2*PI()*B15/100)-$J$12*SIN(2*PI()*($L$12-$J$12)*B15/($J$12*100))</f>
        <v>1.5626100227994266E-2</v>
      </c>
    </row>
    <row r="16" spans="2:12" x14ac:dyDescent="0.45">
      <c r="B16" s="1">
        <v>5</v>
      </c>
      <c r="C16" s="1">
        <f>($J$10+$L$10)*COS(2*PI()*B16/100)-$J$10*COS(2*PI()*($J$10+$L$10)*B16/($J$10*100))</f>
        <v>3.4952090708056667</v>
      </c>
      <c r="D16" s="9">
        <f>($J$10+$L$10)*SIN(2*PI()*B16/100)-$J$10*SIN(2*PI()*($J$10+$L$10)*B16/($J$10*100))</f>
        <v>0.28501146120463605</v>
      </c>
      <c r="E16" s="2">
        <f>($L$12-$J$12)*COS(2*PI()*B16/100)+$J$12*COS(2*PI()*($L$12-$J$12)*B16/($J$12*100))</f>
        <v>2.7111300269652547</v>
      </c>
      <c r="F16" s="2">
        <f>($L$12-$J$12)*SIN(2*PI()*B16/100)-$J$12*SIN(2*PI()*($L$12-$J$12)*B16/($J$12*100))</f>
        <v>3.0248736457421654E-2</v>
      </c>
    </row>
    <row r="17" spans="2:6" x14ac:dyDescent="0.45">
      <c r="B17" s="1">
        <v>6</v>
      </c>
      <c r="C17" s="1">
        <f>($J$10+$L$10)*COS(2*PI()*B17/100)-$J$10*COS(2*PI()*($J$10+$L$10)*B17/($J$10*100))</f>
        <v>3.6563154240236924</v>
      </c>
      <c r="D17" s="9">
        <f>($J$10+$L$10)*SIN(2*PI()*B17/100)-$J$10*SIN(2*PI()*($J$10+$L$10)*B17/($J$10*100))</f>
        <v>0.47447148231044012</v>
      </c>
      <c r="E17" s="2">
        <f>($L$12-$J$12)*COS(2*PI()*B17/100)+$J$12*COS(2*PI()*($L$12-$J$12)*B17/($J$12*100))</f>
        <v>2.5885215991979145</v>
      </c>
      <c r="F17" s="2">
        <f>($L$12-$J$12)*SIN(2*PI()*B17/100)-$J$12*SIN(2*PI()*($L$12-$J$12)*B17/($J$12*100))</f>
        <v>5.1701999440667223E-2</v>
      </c>
    </row>
    <row r="18" spans="2:6" x14ac:dyDescent="0.45">
      <c r="B18" s="1">
        <v>7</v>
      </c>
      <c r="C18" s="1">
        <f>($J$10+$L$10)*COS(2*PI()*B18/100)-$J$10*COS(2*PI()*($J$10+$L$10)*B18/($J$10*100))</f>
        <v>3.8066895244498031</v>
      </c>
      <c r="D18" s="9">
        <f>($J$10+$L$10)*SIN(2*PI()*B18/100)-$J$10*SIN(2*PI()*($J$10+$L$10)*B18/($J$10*100))</f>
        <v>0.72082991553160192</v>
      </c>
      <c r="E18" s="2">
        <f>($L$12-$J$12)*COS(2*PI()*B18/100)+$J$12*COS(2*PI()*($L$12-$J$12)*B18/($J$12*100))</f>
        <v>2.4470780946807289</v>
      </c>
      <c r="F18" s="2">
        <f>($L$12-$J$12)*SIN(2*PI()*B18/100)-$J$12*SIN(2*PI()*($L$12-$J$12)*B18/($J$12*100))</f>
        <v>8.1045340354356066E-2</v>
      </c>
    </row>
    <row r="19" spans="2:6" x14ac:dyDescent="0.45">
      <c r="B19" s="1">
        <v>8</v>
      </c>
      <c r="C19" s="1">
        <f>($J$10+$L$10)*COS(2*PI()*B19/100)-$J$10*COS(2*PI()*($J$10+$L$10)*B19/($J$10*100))</f>
        <v>3.9310060117405272</v>
      </c>
      <c r="D19" s="9">
        <f>($J$10+$L$10)*SIN(2*PI()*B19/100)-$J$10*SIN(2*PI()*($J$10+$L$10)*B19/($J$10*100))</f>
        <v>1.0221876439408417</v>
      </c>
      <c r="E19" s="2">
        <f>($L$12-$J$12)*COS(2*PI()*B19/100)+$J$12*COS(2*PI()*($L$12-$J$12)*B19/($J$12*100))</f>
        <v>2.2884401550667235</v>
      </c>
      <c r="F19" s="2">
        <f>($L$12-$J$12)*SIN(2*PI()*B19/100)-$J$12*SIN(2*PI()*($L$12-$J$12)*B19/($J$12*100))</f>
        <v>0.11917942270141557</v>
      </c>
    </row>
    <row r="20" spans="2:6" x14ac:dyDescent="0.45">
      <c r="B20" s="1">
        <v>9</v>
      </c>
      <c r="C20" s="1">
        <f>($J$10+$L$10)*COS(2*PI()*B20/100)-$J$10*COS(2*PI()*($J$10+$L$10)*B20/($J$10*100))</f>
        <v>4.0147356917567496</v>
      </c>
      <c r="D20" s="9">
        <f>($J$10+$L$10)*SIN(2*PI()*B20/100)-$J$10*SIN(2*PI()*($J$10+$L$10)*B20/($J$10*100))</f>
        <v>1.3727939371401974</v>
      </c>
      <c r="E20" s="2">
        <f>($L$12-$J$12)*COS(2*PI()*B20/100)+$J$12*COS(2*PI()*($L$12-$J$12)*B20/($J$12*100))</f>
        <v>2.1144351425691026</v>
      </c>
      <c r="F20" s="2">
        <f>($L$12-$J$12)*SIN(2*PI()*B20/100)-$J$12*SIN(2*PI()*($L$12-$J$12)*B20/($J$12*100))</f>
        <v>0.16682653749197374</v>
      </c>
    </row>
    <row r="21" spans="2:6" x14ac:dyDescent="0.45">
      <c r="B21" s="1">
        <v>10</v>
      </c>
      <c r="C21" s="1">
        <f>($J$10+$L$10)*COS(2*PI()*B21/100)-$J$10*COS(2*PI()*($J$10+$L$10)*B21/($J$10*100))</f>
        <v>4.0450849718747373</v>
      </c>
      <c r="D21" s="9">
        <f>($J$10+$L$10)*SIN(2*PI()*B21/100)-$J$10*SIN(2*PI()*($J$10+$L$10)*B21/($J$10*100))</f>
        <v>1.7633557568774192</v>
      </c>
      <c r="E21" s="2">
        <f>($L$12-$J$12)*COS(2*PI()*B21/100)+$J$12*COS(2*PI()*($L$12-$J$12)*B21/($J$12*100))</f>
        <v>1.9270509831248424</v>
      </c>
      <c r="F21" s="2">
        <f>($L$12-$J$12)*SIN(2*PI()*B21/100)-$J$12*SIN(2*PI()*($L$12-$J$12)*B21/($J$12*100))</f>
        <v>0.22451398828979274</v>
      </c>
    </row>
    <row r="22" spans="2:6" x14ac:dyDescent="0.45">
      <c r="B22" s="1">
        <v>11</v>
      </c>
      <c r="C22" s="1">
        <f>($J$10+$L$10)*COS(2*PI()*B22/100)-$J$10*COS(2*PI()*($J$10+$L$10)*B22/($J$10*100))</f>
        <v>4.0118294569914088</v>
      </c>
      <c r="D22" s="9">
        <f>($J$10+$L$10)*SIN(2*PI()*B22/100)-$J$10*SIN(2*PI()*($J$10+$L$10)*B22/($J$10*100))</f>
        <v>2.1815714063100806</v>
      </c>
      <c r="E22" s="2">
        <f>($L$12-$J$12)*COS(2*PI()*B22/100)+$J$12*COS(2*PI()*($L$12-$J$12)*B22/($J$12*100))</f>
        <v>1.7284078001373033</v>
      </c>
      <c r="F22" s="2">
        <f>($L$12-$J$12)*SIN(2*PI()*B22/100)-$J$12*SIN(2*PI()*($L$12-$J$12)*B22/($J$12*100))</f>
        <v>0.29256072876869066</v>
      </c>
    </row>
    <row r="23" spans="2:6" x14ac:dyDescent="0.45">
      <c r="B23" s="1">
        <v>12</v>
      </c>
      <c r="C23" s="1">
        <f>($J$10+$L$10)*COS(2*PI()*B23/100)-$J$10*COS(2*PI()*($J$10+$L$10)*B23/($J$10*100))</f>
        <v>3.9079892110001238</v>
      </c>
      <c r="D23" s="9">
        <f>($J$10+$L$10)*SIN(2*PI()*B23/100)-$J$10*SIN(2*PI()*($J$10+$L$10)*B23/($J$10*100))</f>
        <v>2.6128551901504498</v>
      </c>
      <c r="E23" s="2">
        <f>($L$12-$J$12)*COS(2*PI()*B23/100)+$J$12*COS(2*PI()*($L$12-$J$12)*B23/($J$12*100))</f>
        <v>1.5207277743721366</v>
      </c>
      <c r="F23" s="2">
        <f>($L$12-$J$12)*SIN(2*PI()*B23/100)-$J$12*SIN(2*PI()*($L$12-$J$12)*B23/($J$12*100))</f>
        <v>0.37106748342910567</v>
      </c>
    </row>
    <row r="24" spans="2:6" x14ac:dyDescent="0.45">
      <c r="B24" s="1">
        <v>13</v>
      </c>
      <c r="C24" s="1">
        <f>($J$10+$L$10)*COS(2*PI()*B24/100)-$J$10*COS(2*PI()*($J$10+$L$10)*B24/($J$10*100))</f>
        <v>3.7303031250292324</v>
      </c>
      <c r="D24" s="9">
        <f>($J$10+$L$10)*SIN(2*PI()*B24/100)-$J$10*SIN(2*PI()*($J$10+$L$10)*B24/($J$10*100))</f>
        <v>3.0412077432499505</v>
      </c>
      <c r="E24" s="2">
        <f>($L$12-$J$12)*COS(2*PI()*B24/100)+$J$12*COS(2*PI()*($L$12-$J$12)*B24/($J$12*100))</f>
        <v>1.3063036923280638</v>
      </c>
      <c r="F24" s="2">
        <f>($L$12-$J$12)*SIN(2*PI()*B24/100)-$J$12*SIN(2*PI()*($L$12-$J$12)*B24/($J$12*100))</f>
        <v>0.45991052641455155</v>
      </c>
    </row>
    <row r="25" spans="2:6" x14ac:dyDescent="0.45">
      <c r="B25" s="1">
        <v>14</v>
      </c>
      <c r="C25" s="1">
        <f>($J$10+$L$10)*COS(2*PI()*B25/100)-$J$10*COS(2*PI()*($J$10+$L$10)*B25/($J$10*100))</f>
        <v>3.4794724448830103</v>
      </c>
      <c r="D25" s="9">
        <f>($J$10+$L$10)*SIN(2*PI()*B25/100)-$J$10*SIN(2*PI()*($J$10+$L$10)*B25/($J$10*100))</f>
        <v>3.4501775237878349</v>
      </c>
      <c r="E25" s="2">
        <f>($L$12-$J$12)*COS(2*PI()*B25/100)+$J$12*COS(2*PI()*($L$12-$J$12)*B25/($J$12*100))</f>
        <v>1.0874666649116549</v>
      </c>
      <c r="F25" s="2">
        <f>($L$12-$J$12)*SIN(2*PI()*B25/100)-$J$12*SIN(2*PI()*($L$12-$J$12)*B25/($J$12*100))</f>
        <v>0.55873923482288979</v>
      </c>
    </row>
    <row r="26" spans="2:6" x14ac:dyDescent="0.45">
      <c r="B26" s="1">
        <v>15</v>
      </c>
      <c r="C26" s="1">
        <f>($J$10+$L$10)*COS(2*PI()*B26/100)-$J$10*COS(2*PI()*($J$10+$L$10)*B26/($J$10*100))</f>
        <v>3.1601580035448409</v>
      </c>
      <c r="D26" s="9">
        <f>($J$10+$L$10)*SIN(2*PI()*B26/100)-$J$10*SIN(2*PI()*($J$10+$L$10)*B26/($J$10*100))</f>
        <v>3.8238532297922623</v>
      </c>
      <c r="E26" s="2">
        <f>($L$12-$J$12)*COS(2*PI()*B26/100)+$J$12*COS(2*PI()*($L$12-$J$12)*B26/($J$12*100))</f>
        <v>0.86655351020999938</v>
      </c>
      <c r="F26" s="2">
        <f>($L$12-$J$12)*SIN(2*PI()*B26/100)-$J$12*SIN(2*PI()*($L$12-$J$12)*B26/($J$12*100))</f>
        <v>0.66697747245474104</v>
      </c>
    </row>
    <row r="27" spans="2:6" x14ac:dyDescent="0.45">
      <c r="B27" s="1">
        <v>16</v>
      </c>
      <c r="C27" s="1">
        <f>($J$10+$L$10)*COS(2*PI()*B27/100)-$J$10*COS(2*PI()*($J$10+$L$10)*B27/($J$10*100))</f>
        <v>2.7807311696646755</v>
      </c>
      <c r="D27" s="9">
        <f>($J$10+$L$10)*SIN(2*PI()*B27/100)-$J$10*SIN(2*PI()*($J$10+$L$10)*B27/($J$10*100))</f>
        <v>4.1478249447838493</v>
      </c>
      <c r="E27" s="2">
        <f>($L$12-$J$12)*COS(2*PI()*B27/100)+$J$12*COS(2*PI()*($L$12-$J$12)*B27/($J$12*100))</f>
        <v>0.64587429839292043</v>
      </c>
      <c r="F27" s="2">
        <f>($L$12-$J$12)*SIN(2*PI()*B27/100)-$J$12*SIN(2*PI()*($L$12-$J$12)*B27/($J$12*100))</f>
        <v>0.78382879853801068</v>
      </c>
    </row>
    <row r="28" spans="2:6" x14ac:dyDescent="0.45">
      <c r="B28" s="1">
        <v>17</v>
      </c>
      <c r="C28" s="1">
        <f>($J$10+$L$10)*COS(2*PI()*B28/100)-$J$10*COS(2*PI()*($J$10+$L$10)*B28/($J$10*100))</f>
        <v>2.3527939879719328</v>
      </c>
      <c r="D28" s="9">
        <f>($J$10+$L$10)*SIN(2*PI()*B28/100)-$J$10*SIN(2*PI()*($J$10+$L$10)*B28/($J$10*100))</f>
        <v>4.4100537726414748</v>
      </c>
      <c r="E28" s="2">
        <f>($L$12-$J$12)*COS(2*PI()*B28/100)+$J$12*COS(2*PI()*($L$12-$J$12)*B28/($J$12*100))</f>
        <v>0.42768055322443344</v>
      </c>
      <c r="F28" s="2">
        <f>($L$12-$J$12)*SIN(2*PI()*B28/100)-$J$12*SIN(2*PI()*($L$12-$J$12)*B28/($J$12*100))</f>
        <v>0.90828543458571243</v>
      </c>
    </row>
    <row r="29" spans="2:6" x14ac:dyDescent="0.45">
      <c r="B29" s="1">
        <v>18</v>
      </c>
      <c r="C29" s="1">
        <f>($J$10+$L$10)*COS(2*PI()*B29/100)-$J$10*COS(2*PI()*($J$10+$L$10)*B29/($J$10*100))</f>
        <v>1.8904984808460152</v>
      </c>
      <c r="D29" s="9">
        <f>($J$10+$L$10)*SIN(2*PI()*B29/100)-$J$10*SIN(2*PI()*($J$10+$L$10)*B29/($J$10*100))</f>
        <v>4.6015954605927671</v>
      </c>
      <c r="E29" s="2">
        <f>($L$12-$J$12)*COS(2*PI()*B29/100)+$J$12*COS(2*PI()*($L$12-$J$12)*B29/($J$12*100))</f>
        <v>0.21413459338145557</v>
      </c>
      <c r="F29" s="2">
        <f>($L$12-$J$12)*SIN(2*PI()*B29/100)-$J$12*SIN(2*PI()*($L$12-$J$12)*B29/($J$12*100))</f>
        <v>1.0391408621562499</v>
      </c>
    </row>
    <row r="30" spans="2:6" x14ac:dyDescent="0.45">
      <c r="B30" s="1">
        <v>19</v>
      </c>
      <c r="C30" s="1">
        <f>($J$10+$L$10)*COS(2*PI()*B30/100)-$J$10*COS(2*PI()*($J$10+$L$10)*B30/($J$10*100))</f>
        <v>1.4097076912093995</v>
      </c>
      <c r="D30" s="9">
        <f>($J$10+$L$10)*SIN(2*PI()*B30/100)-$J$10*SIN(2*PI()*($J$10+$L$10)*B30/($J$10*100))</f>
        <v>4.7171326719812772</v>
      </c>
      <c r="E30" s="2">
        <f>($L$12-$J$12)*COS(2*PI()*B30/100)+$J$12*COS(2*PI()*($L$12-$J$12)*B30/($J$12*100))</f>
        <v>7.2804779479448412E-3</v>
      </c>
      <c r="F30" s="2">
        <f>($L$12-$J$12)*SIN(2*PI()*B30/100)-$J$12*SIN(2*PI()*($L$12-$J$12)*B30/($J$12*100))</f>
        <v>1.175005865847814</v>
      </c>
    </row>
    <row r="31" spans="2:6" x14ac:dyDescent="0.45">
      <c r="B31" s="1">
        <v>20</v>
      </c>
      <c r="C31" s="1">
        <f>($J$10+$L$10)*COS(2*PI()*B31/100)-$J$10*COS(2*PI()*($J$10+$L$10)*B31/($J$10*100))</f>
        <v>0.92705098312484258</v>
      </c>
      <c r="D31" s="9">
        <f>($J$10+$L$10)*SIN(2*PI()*B31/100)-$J$10*SIN(2*PI()*($J$10+$L$10)*B31/($J$10*100))</f>
        <v>4.7552825814757682</v>
      </c>
      <c r="E31" s="2">
        <f>($L$12-$J$12)*COS(2*PI()*B31/100)+$J$12*COS(2*PI()*($L$12-$J$12)*B31/($J$12*100))</f>
        <v>-0.19098300562505244</v>
      </c>
      <c r="F31" s="2">
        <f>($L$12-$J$12)*SIN(2*PI()*B31/100)-$J$12*SIN(2*PI()*($L$12-$J$12)*B31/($J$12*100))</f>
        <v>1.3143277802978339</v>
      </c>
    </row>
    <row r="32" spans="2:6" x14ac:dyDescent="0.45">
      <c r="B32" s="1">
        <v>21</v>
      </c>
      <c r="C32" s="1">
        <f>($J$10+$L$10)*COS(2*PI()*B32/100)-$J$10*COS(2*PI()*($J$10+$L$10)*B32/($J$10*100))</f>
        <v>0.45893275368042219</v>
      </c>
      <c r="D32" s="9">
        <f>($J$10+$L$10)*SIN(2*PI()*B32/100)-$J$10*SIN(2*PI()*($J$10+$L$10)*B32/($J$10*100))</f>
        <v>4.7186605700165396</v>
      </c>
      <c r="E32" s="2">
        <f>($L$12-$J$12)*COS(2*PI()*B32/100)+$J$12*COS(2*PI()*($L$12-$J$12)*B32/($J$12*100))</f>
        <v>-0.37892690571415411</v>
      </c>
      <c r="F32" s="2">
        <f>($L$12-$J$12)*SIN(2*PI()*B32/100)-$J$12*SIN(2*PI()*($L$12-$J$12)*B32/($J$12*100))</f>
        <v>1.4554126481555469</v>
      </c>
    </row>
    <row r="33" spans="2:6" x14ac:dyDescent="0.45">
      <c r="B33" s="1">
        <v>22</v>
      </c>
      <c r="C33" s="1">
        <f>($J$10+$L$10)*COS(2*PI()*B33/100)-$J$10*COS(2*PI()*($J$10+$L$10)*B33/($J$10*100))</f>
        <v>2.055663092148774E-2</v>
      </c>
      <c r="D33" s="9">
        <f>($J$10+$L$10)*SIN(2*PI()*B33/100)-$J$10*SIN(2*PI()*($J$10+$L$10)*B33/($J$10*100))</f>
        <v>4.6136961088434436</v>
      </c>
      <c r="E33" s="2">
        <f>($L$12-$J$12)*COS(2*PI()*B33/100)+$J$12*COS(2*PI()*($L$12-$J$12)*B33/($J$12*100))</f>
        <v>-0.55501385671680192</v>
      </c>
      <c r="F33" s="2">
        <f>($L$12-$J$12)*SIN(2*PI()*B33/100)-$J$12*SIN(2*PI()*($L$12-$J$12)*B33/($J$12*100))</f>
        <v>1.5964499487726991</v>
      </c>
    </row>
    <row r="34" spans="2:6" x14ac:dyDescent="0.45">
      <c r="B34" s="1">
        <v>23</v>
      </c>
      <c r="C34" s="1">
        <f>($J$10+$L$10)*COS(2*PI()*B34/100)-$J$10*COS(2*PI()*($J$10+$L$10)*B34/($J$10*100))</f>
        <v>-0.37497374578664522</v>
      </c>
      <c r="D34" s="9">
        <f>($J$10+$L$10)*SIN(2*PI()*B34/100)-$J$10*SIN(2*PI()*($J$10+$L$10)*B34/($J$10*100))</f>
        <v>4.4502124793596272</v>
      </c>
      <c r="E34" s="2">
        <f>($L$12-$J$12)*COS(2*PI()*B34/100)+$J$12*COS(2*PI()*($L$12-$J$12)*B34/($J$12*100))</f>
        <v>-0.717916694000022</v>
      </c>
      <c r="F34" s="2">
        <f>($L$12-$J$12)*SIN(2*PI()*B34/100)-$J$12*SIN(2*PI()*($L$12-$J$12)*B34/($J$12*100))</f>
        <v>1.7355395154641002</v>
      </c>
    </row>
    <row r="35" spans="2:6" x14ac:dyDescent="0.45">
      <c r="B35" s="1">
        <v>24</v>
      </c>
      <c r="C35" s="1">
        <f>($J$10+$L$10)*COS(2*PI()*B35/100)-$J$10*COS(2*PI()*($J$10+$L$10)*B35/($J$10*100))</f>
        <v>-0.71742108301137686</v>
      </c>
      <c r="D35" s="9">
        <f>($J$10+$L$10)*SIN(2*PI()*B35/100)-$J$10*SIN(2*PI()*($J$10+$L$10)*B35/($J$10*100))</f>
        <v>4.2407968008779413</v>
      </c>
      <c r="E35" s="2">
        <f>($L$12-$J$12)*COS(2*PI()*B35/100)+$J$12*COS(2*PI()*($L$12-$J$12)*B35/($J$12*100))</f>
        <v>-0.86653366225585071</v>
      </c>
      <c r="F35" s="2">
        <f>($L$12-$J$12)*SIN(2*PI()*B35/100)-$J$12*SIN(2*PI()*($L$12-$J$12)*B35/($J$12*100))</f>
        <v>1.8707202232922386</v>
      </c>
    </row>
    <row r="36" spans="2:6" x14ac:dyDescent="0.45">
      <c r="B36" s="1">
        <v>25</v>
      </c>
      <c r="C36" s="1">
        <f>($J$10+$L$10)*COS(2*PI()*B36/100)-$J$10*COS(2*PI()*($J$10+$L$10)*B36/($J$10*100))</f>
        <v>-0.99999999999999978</v>
      </c>
      <c r="D36" s="9">
        <f>($J$10+$L$10)*SIN(2*PI()*B36/100)-$J$10*SIN(2*PI()*($J$10+$L$10)*B36/($J$10*100))</f>
        <v>4</v>
      </c>
      <c r="E36" s="2">
        <f>($L$12-$J$12)*COS(2*PI()*B36/100)+$J$12*COS(2*PI()*($L$12-$J$12)*B36/($J$12*100))</f>
        <v>-0.99999999999999989</v>
      </c>
      <c r="F36" s="2">
        <f>($L$12-$J$12)*SIN(2*PI()*B36/100)-$J$12*SIN(2*PI()*($L$12-$J$12)*B36/($J$12*100))</f>
        <v>1.9999999999999998</v>
      </c>
    </row>
    <row r="37" spans="2:6" x14ac:dyDescent="0.45">
      <c r="B37" s="1">
        <v>26</v>
      </c>
      <c r="C37" s="1">
        <f>($J$10+$L$10)*COS(2*PI()*B37/100)-$J$10*COS(2*PI()*($J$10+$L$10)*B37/($J$10*100))</f>
        <v>-1.2197452392458847</v>
      </c>
      <c r="D37" s="9">
        <f>($J$10+$L$10)*SIN(2*PI()*B37/100)-$J$10*SIN(2*PI()*($J$10+$L$10)*B37/($J$10*100))</f>
        <v>3.7434170265482312</v>
      </c>
      <c r="E37" s="2">
        <f>($L$12-$J$12)*COS(2*PI()*B37/100)+$J$12*COS(2*PI()*($L$12-$J$12)*B37/($J$12*100))</f>
        <v>-1.1176957403731047</v>
      </c>
      <c r="F37" s="2">
        <f>($L$12-$J$12)*SIN(2*PI()*B37/100)-$J$12*SIN(2*PI()*($L$12-$J$12)*B37/($J$12*100))</f>
        <v>2.1213866904208474</v>
      </c>
    </row>
    <row r="38" spans="2:6" x14ac:dyDescent="0.45">
      <c r="B38" s="1">
        <v>27</v>
      </c>
      <c r="C38" s="1">
        <f>($J$10+$L$10)*COS(2*PI()*B38/100)-$J$10*COS(2*PI()*($J$10+$L$10)*B38/($J$10*100))</f>
        <v>-1.3776396143010805</v>
      </c>
      <c r="D38" s="9">
        <f>($J$10+$L$10)*SIN(2*PI()*B38/100)-$J$10*SIN(2*PI()*($J$10+$L$10)*B38/($J$10*100))</f>
        <v>3.4867051311561967</v>
      </c>
      <c r="E38" s="2">
        <f>($L$12-$J$12)*COS(2*PI()*B38/100)+$J$12*COS(2*PI()*($L$12-$J$12)*B38/($J$12*100))</f>
        <v>-1.2192496282572396</v>
      </c>
      <c r="F38" s="2">
        <f>($L$12-$J$12)*SIN(2*PI()*B38/100)-$J$12*SIN(2*PI()*($L$12-$J$12)*B38/($J$12*100))</f>
        <v>2.2329192897938102</v>
      </c>
    </row>
    <row r="39" spans="2:6" x14ac:dyDescent="0.45">
      <c r="B39" s="1">
        <v>28</v>
      </c>
      <c r="C39" s="1">
        <f>($J$10+$L$10)*COS(2*PI()*B39/100)-$J$10*COS(2*PI()*($J$10+$L$10)*B39/($J$10*100))</f>
        <v>-1.47849388576431</v>
      </c>
      <c r="D39" s="9">
        <f>($J$10+$L$10)*SIN(2*PI()*B39/100)-$J$10*SIN(2*PI()*($J$10+$L$10)*B39/($J$10*100))</f>
        <v>3.2446018969860662</v>
      </c>
      <c r="E39" s="2">
        <f>($L$12-$J$12)*COS(2*PI()*B39/100)+$J$12*COS(2*PI()*($L$12-$J$12)*B39/($J$12*100))</f>
        <v>-1.3045391150597005</v>
      </c>
      <c r="F39" s="2">
        <f>($L$12-$J$12)*SIN(2*PI()*B39/100)-$J$12*SIN(2*PI()*($L$12-$J$12)*B39/($J$12*100))</f>
        <v>2.3326990541420551</v>
      </c>
    </row>
    <row r="40" spans="2:6" x14ac:dyDescent="0.45">
      <c r="B40" s="1">
        <v>29</v>
      </c>
      <c r="C40" s="1">
        <f>($J$10+$L$10)*COS(2*PI()*B40/100)-$J$10*COS(2*PI()*($J$10+$L$10)*B40/($J$10*100))</f>
        <v>-1.5305863436384159</v>
      </c>
      <c r="D40" s="9">
        <f>($J$10+$L$10)*SIN(2*PI()*B40/100)-$J$10*SIN(2*PI()*($J$10+$L$10)*B40/($J$10*100))</f>
        <v>3.030004719012509</v>
      </c>
      <c r="E40" s="2">
        <f>($L$12-$J$12)*COS(2*PI()*B40/100)+$J$12*COS(2*PI()*($L$12-$J$12)*B40/($J$12*100))</f>
        <v>-1.3736864543735732</v>
      </c>
      <c r="F40" s="2">
        <f>($L$12-$J$12)*SIN(2*PI()*B40/100)-$J$12*SIN(2*PI()*($L$12-$J$12)*B40/($J$12*100))</f>
        <v>2.4189199963589774</v>
      </c>
    </row>
    <row r="41" spans="2:6" x14ac:dyDescent="0.45">
      <c r="B41" s="1">
        <v>30</v>
      </c>
      <c r="C41" s="1">
        <f>($J$10+$L$10)*COS(2*PI()*B41/100)-$J$10*COS(2*PI()*($J$10+$L$10)*B41/($J$10*100))</f>
        <v>-1.545084971874737</v>
      </c>
      <c r="D41" s="9">
        <f>($J$10+$L$10)*SIN(2*PI()*B41/100)-$J$10*SIN(2*PI()*($J$10+$L$10)*B41/($J$10*100))</f>
        <v>2.8531695488854614</v>
      </c>
      <c r="E41" s="2">
        <f>($L$12-$J$12)*COS(2*PI()*B41/100)+$J$12*COS(2*PI()*($L$12-$J$12)*B41/($J$12*100))</f>
        <v>-1.4270509831248419</v>
      </c>
      <c r="F41" s="2">
        <f>($L$12-$J$12)*SIN(2*PI()*B41/100)-$J$12*SIN(2*PI()*($L$12-$J$12)*B41/($J$12*100))</f>
        <v>2.4898982848827798</v>
      </c>
    </row>
    <row r="42" spans="2:6" x14ac:dyDescent="0.45">
      <c r="B42" s="1">
        <v>31</v>
      </c>
      <c r="C42" s="1">
        <f>($J$10+$L$10)*COS(2*PI()*B42/100)-$J$10*COS(2*PI()*($J$10+$L$10)*B42/($J$10*100))</f>
        <v>-1.5352887302680251</v>
      </c>
      <c r="D42" s="9">
        <f>($J$10+$L$10)*SIN(2*PI()*B42/100)-$J$10*SIN(2*PI()*($J$10+$L$10)*B42/($J$10*100))</f>
        <v>2.7210792151247345</v>
      </c>
      <c r="E42" s="2">
        <f>($L$12-$J$12)*COS(2*PI()*B42/100)+$J$12*COS(2*PI()*($L$12-$J$12)*B42/($J$12*100))</f>
        <v>-1.4652177327907672</v>
      </c>
      <c r="F42" s="2">
        <f>($L$12-$J$12)*SIN(2*PI()*B42/100)-$J$12*SIN(2*PI()*($L$12-$J$12)*B42/($J$12*100))</f>
        <v>2.5441000777051914</v>
      </c>
    </row>
    <row r="43" spans="2:6" x14ac:dyDescent="0.45">
      <c r="B43" s="1">
        <v>32</v>
      </c>
      <c r="C43" s="1">
        <f>($J$10+$L$10)*COS(2*PI()*B43/100)-$J$10*COS(2*PI()*($J$10+$L$10)*B43/($J$10*100))</f>
        <v>-1.5157358516745658</v>
      </c>
      <c r="D43" s="9">
        <f>($J$10+$L$10)*SIN(2*PI()*B43/100)-$J$10*SIN(2*PI()*($J$10+$L$10)*B43/($J$10*100))</f>
        <v>2.6370209591353895</v>
      </c>
      <c r="E43" s="2">
        <f>($L$12-$J$12)*COS(2*PI()*B43/100)+$J$12*COS(2*PI()*($L$12-$J$12)*B43/($J$12*100))</f>
        <v>-1.4889825728788351</v>
      </c>
      <c r="F43" s="2">
        <f>($L$12-$J$12)*SIN(2*PI()*B43/100)-$J$12*SIN(2*PI()*($L$12-$J$12)*B43/($J$12*100))</f>
        <v>2.5801673477078282</v>
      </c>
    </row>
    <row r="44" spans="2:6" x14ac:dyDescent="0.45">
      <c r="B44" s="1">
        <v>33</v>
      </c>
      <c r="C44" s="1">
        <f>($J$10+$L$10)*COS(2*PI()*B44/100)-$J$10*COS(2*PI()*($J$10+$L$10)*B44/($J$10*100))</f>
        <v>-1.5012354048417884</v>
      </c>
      <c r="D44" s="9">
        <f>($J$10+$L$10)*SIN(2*PI()*B44/100)-$J$10*SIN(2*PI()*($J$10+$L$10)*B44/($J$10*100))</f>
        <v>2.6003996677094348</v>
      </c>
      <c r="E44" s="2">
        <f>($L$12-$J$12)*COS(2*PI()*B44/100)+$J$12*COS(2*PI()*($L$12-$J$12)*B44/($J$12*100))</f>
        <v>-1.4993341431824272</v>
      </c>
      <c r="F44" s="2">
        <f>($L$12-$J$12)*SIN(2*PI()*B44/100)-$J$12*SIN(2*PI()*($L$12-$J$12)*B44/($J$12*100))</f>
        <v>2.5969412855897422</v>
      </c>
    </row>
    <row r="45" spans="2:6" x14ac:dyDescent="0.45">
      <c r="B45" s="1">
        <v>34</v>
      </c>
      <c r="C45" s="1">
        <f>($J$10+$L$10)*COS(2*PI()*B45/100)-$J$10*COS(2*PI()*($J$10+$L$10)*B45/($J$10*100))</f>
        <v>-1.5058831901672969</v>
      </c>
      <c r="D45" s="9">
        <f>($J$10+$L$10)*SIN(2*PI()*B45/100)-$J$10*SIN(2*PI()*($J$10+$L$10)*B45/($J$10*100))</f>
        <v>2.6067984592322713</v>
      </c>
      <c r="E45" s="2">
        <f>($L$12-$J$12)*COS(2*PI()*B45/100)+$J$12*COS(2*PI()*($L$12-$J$12)*B45/($J$12*100))</f>
        <v>-1.497432881523066</v>
      </c>
      <c r="F45" s="2">
        <f>($L$12-$J$12)*SIN(2*PI()*B45/100)-$J$12*SIN(2*PI()*($L$12-$J$12)*B45/($J$12*100))</f>
        <v>2.5934829034700497</v>
      </c>
    </row>
    <row r="46" spans="2:6" x14ac:dyDescent="0.45">
      <c r="B46" s="1">
        <v>35</v>
      </c>
      <c r="C46" s="1">
        <f>($J$10+$L$10)*COS(2*PI()*B46/100)-$J$10*COS(2*PI()*($J$10+$L$10)*B46/($J$10*100))</f>
        <v>-1.5421240147949449</v>
      </c>
      <c r="D46" s="9">
        <f>($J$10+$L$10)*SIN(2*PI()*B46/100)-$J$10*SIN(2*PI()*($J$10+$L$10)*B46/($J$10*100))</f>
        <v>2.6482827252073164</v>
      </c>
      <c r="E46" s="2">
        <f>($L$12-$J$12)*COS(2*PI()*B46/100)+$J$12*COS(2*PI()*($L$12-$J$12)*B46/($J$12*100))</f>
        <v>-1.4845874989598937</v>
      </c>
      <c r="F46" s="2">
        <f>($L$12-$J$12)*SIN(2*PI()*B46/100)-$J$12*SIN(2*PI()*($L$12-$J$12)*B46/($J$12*100))</f>
        <v>2.5690905050450485</v>
      </c>
    </row>
    <row r="47" spans="2:6" x14ac:dyDescent="0.45">
      <c r="B47" s="1">
        <v>36</v>
      </c>
      <c r="C47" s="1">
        <f>($J$10+$L$10)*COS(2*PI()*B47/100)-$J$10*COS(2*PI()*($J$10+$L$10)*B47/($J$10*100))</f>
        <v>-1.6199194731065076</v>
      </c>
      <c r="D47" s="9">
        <f>($J$10+$L$10)*SIN(2*PI()*B47/100)-$J$10*SIN(2*PI()*($J$10+$L$10)*B47/($J$10*100))</f>
        <v>2.7139284184184791</v>
      </c>
      <c r="E47" s="2">
        <f>($L$12-$J$12)*COS(2*PI()*B47/100)+$J$12*COS(2*PI()*($L$12-$J$12)*B47/($J$12*100))</f>
        <v>-1.4622292940831041</v>
      </c>
      <c r="F47" s="2">
        <f>($L$12-$J$12)*SIN(2*PI()*B47/100)-$J$12*SIN(2*PI()*($L$12-$J$12)*B47/($J$12*100))</f>
        <v>2.5233137362802673</v>
      </c>
    </row>
    <row r="48" spans="2:6" x14ac:dyDescent="0.45">
      <c r="B48" s="1">
        <v>37</v>
      </c>
      <c r="C48" s="1">
        <f>($J$10+$L$10)*COS(2*PI()*B48/100)-$J$10*COS(2*PI()*($J$10+$L$10)*B48/($J$10*100))</f>
        <v>-1.7460737224002769</v>
      </c>
      <c r="D48" s="9">
        <f>($J$10+$L$10)*SIN(2*PI()*B48/100)-$J$10*SIN(2*PI()*($J$10+$L$10)*B48/($J$10*100))</f>
        <v>2.790541276121342</v>
      </c>
      <c r="E48" s="2">
        <f>($L$12-$J$12)*COS(2*PI()*B48/100)+$J$12*COS(2*PI()*($L$12-$J$12)*B48/($J$12*100))</f>
        <v>-1.4318847313866907</v>
      </c>
      <c r="F48" s="2">
        <f>($L$12-$J$12)*SIN(2*PI()*B48/100)-$J$12*SIN(2*PI()*($L$12-$J$12)*B48/($J$12*100))</f>
        <v>2.4559639832710944</v>
      </c>
    </row>
    <row r="49" spans="2:6" x14ac:dyDescent="0.45">
      <c r="B49" s="1">
        <v>38</v>
      </c>
      <c r="C49" s="1">
        <f>($J$10+$L$10)*COS(2*PI()*B49/100)-$J$10*COS(2*PI()*($J$10+$L$10)*B49/($J$10*100))</f>
        <v>-1.9237598083711673</v>
      </c>
      <c r="D49" s="9">
        <f>($J$10+$L$10)*SIN(2*PI()*B49/100)-$J$10*SIN(2*PI()*($J$10+$L$10)*B49/($J$10*100))</f>
        <v>2.8635216572790587</v>
      </c>
      <c r="E49" s="2">
        <f>($L$12-$J$12)*COS(2*PI()*B49/100)+$J$12*COS(2*PI()*($L$12-$J$12)*B49/($J$12*100))</f>
        <v>-1.3951467353135099</v>
      </c>
      <c r="F49" s="2">
        <f>($L$12-$J$12)*SIN(2*PI()*B49/100)-$J$12*SIN(2*PI()*($L$12-$J$12)*B49/($J$12*100))</f>
        <v>2.3671209402856492</v>
      </c>
    </row>
    <row r="50" spans="2:6" x14ac:dyDescent="0.45">
      <c r="B50" s="1">
        <v>39</v>
      </c>
      <c r="C50" s="1">
        <f>($J$10+$L$10)*COS(2*PI()*B50/100)-$J$10*COS(2*PI()*($J$10+$L$10)*B50/($J$10*100))</f>
        <v>-2.1522764852149048</v>
      </c>
      <c r="D50" s="9">
        <f>($J$10+$L$10)*SIN(2*PI()*B50/100)-$J$10*SIN(2*PI()*($J$10+$L$10)*B50/($J$10*100))</f>
        <v>2.9178205116794365</v>
      </c>
      <c r="E50" s="2">
        <f>($L$12-$J$12)*COS(2*PI()*B50/100)+$J$12*COS(2*PI()*($L$12-$J$12)*B50/($J$12*100))</f>
        <v>-1.3536451709658541</v>
      </c>
      <c r="F50" s="2">
        <f>($L$12-$J$12)*SIN(2*PI()*B50/100)-$J$12*SIN(2*PI()*($L$12-$J$12)*B50/($J$12*100))</f>
        <v>2.2571352302260683</v>
      </c>
    </row>
    <row r="51" spans="2:6" x14ac:dyDescent="0.45">
      <c r="B51" s="1">
        <v>40</v>
      </c>
      <c r="C51" s="1">
        <f>($J$10+$L$10)*COS(2*PI()*B51/100)-$J$10*COS(2*PI()*($J$10+$L$10)*B51/($J$10*100))</f>
        <v>-2.4270509831248415</v>
      </c>
      <c r="D51" s="9">
        <f>($J$10+$L$10)*SIN(2*PI()*B51/100)-$J$10*SIN(2*PI()*($J$10+$L$10)*B51/($J$10*100))</f>
        <v>2.9389262614623659</v>
      </c>
      <c r="E51" s="2">
        <f>($L$12-$J$12)*COS(2*PI()*B51/100)+$J$12*COS(2*PI()*($L$12-$J$12)*B51/($J$12*100))</f>
        <v>-1.3090169943749475</v>
      </c>
      <c r="F51" s="2">
        <f>($L$12-$J$12)*SIN(2*PI()*B51/100)-$J$12*SIN(2*PI()*($L$12-$J$12)*B51/($J$12*100))</f>
        <v>2.1266270208801004</v>
      </c>
    </row>
    <row r="52" spans="2:6" x14ac:dyDescent="0.45">
      <c r="B52" s="1">
        <v>41</v>
      </c>
      <c r="C52" s="1">
        <f>($J$10+$L$10)*COS(2*PI()*B52/100)-$J$10*COS(2*PI()*($J$10+$L$10)*B52/($J$10*100))</f>
        <v>-2.7398877122593683</v>
      </c>
      <c r="D52" s="9">
        <f>($J$10+$L$10)*SIN(2*PI()*B52/100)-$J$10*SIN(2*PI()*($J$10+$L$10)*B52/($J$10*100))</f>
        <v>2.9138204226917761</v>
      </c>
      <c r="E52" s="2">
        <f>($L$12-$J$12)*COS(2*PI()*B52/100)+$J$12*COS(2*PI()*($L$12-$J$12)*B52/($J$12*100))</f>
        <v>-1.2628765594389579</v>
      </c>
      <c r="F52" s="2">
        <f>($L$12-$J$12)*SIN(2*PI()*B52/100)-$J$12*SIN(2*PI()*($L$12-$J$12)*B52/($J$12*100))</f>
        <v>1.976480642424014</v>
      </c>
    </row>
    <row r="53" spans="2:6" x14ac:dyDescent="0.45">
      <c r="B53" s="1">
        <v>42</v>
      </c>
      <c r="C53" s="1">
        <f>($J$10+$L$10)*COS(2*PI()*B53/100)-$J$10*COS(2*PI()*($J$10+$L$10)*B53/($J$10*100))</f>
        <v>-3.0794474286103819</v>
      </c>
      <c r="D53" s="9">
        <f>($J$10+$L$10)*SIN(2*PI()*B53/100)-$J$10*SIN(2*PI()*($J$10+$L$10)*B53/($J$10*100))</f>
        <v>2.8318417488728804</v>
      </c>
      <c r="E53" s="2">
        <f>($L$12-$J$12)*COS(2*PI()*B53/100)+$J$12*COS(2*PI()*($L$12-$J$12)*B53/($J$12*100))</f>
        <v>-1.2167865651087304</v>
      </c>
      <c r="F53" s="2">
        <f>($L$12-$J$12)*SIN(2*PI()*B53/100)-$J$12*SIN(2*PI()*($L$12-$J$12)*B53/($J$12*100))</f>
        <v>1.8078352737054453</v>
      </c>
    </row>
    <row r="54" spans="2:6" x14ac:dyDescent="0.45">
      <c r="B54" s="1">
        <v>43</v>
      </c>
      <c r="C54" s="1">
        <f>($J$10+$L$10)*COS(2*PI()*B54/100)-$J$10*COS(2*PI()*($J$10+$L$10)*B54/($J$10*100))</f>
        <v>-3.4319268952783517</v>
      </c>
      <c r="D54" s="9">
        <f>($J$10+$L$10)*SIN(2*PI()*B54/100)-$J$10*SIN(2*PI()*($J$10+$L$10)*B54/($J$10*100))</f>
        <v>2.6854044169889799</v>
      </c>
      <c r="E54" s="2">
        <f>($L$12-$J$12)*COS(2*PI()*B54/100)+$J$12*COS(2*PI()*($L$12-$J$12)*B54/($J$12*100))</f>
        <v>-1.1722301151833494</v>
      </c>
      <c r="F54" s="2">
        <f>($L$12-$J$12)*SIN(2*PI()*B54/100)-$J$12*SIN(2*PI()*($L$12-$J$12)*B54/($J$12*100))</f>
        <v>1.6220718259059352</v>
      </c>
    </row>
    <row r="55" spans="2:6" x14ac:dyDescent="0.45">
      <c r="B55" s="1">
        <v>44</v>
      </c>
      <c r="C55" s="1">
        <f>($J$10+$L$10)*COS(2*PI()*B55/100)-$J$10*COS(2*PI()*($J$10+$L$10)*B55/($J$10*100))</f>
        <v>-3.781896463082318</v>
      </c>
      <c r="D55" s="9">
        <f>($J$10+$L$10)*SIN(2*PI()*B55/100)-$J$10*SIN(2*PI()*($J$10+$L$10)*B55/($J$10*100))</f>
        <v>2.4705249391669843</v>
      </c>
      <c r="E55" s="2">
        <f>($L$12-$J$12)*COS(2*PI()*B55/100)+$J$12*COS(2*PI()*($L$12-$J$12)*B55/($J$12*100))</f>
        <v>-1.1305843443550914</v>
      </c>
      <c r="F55" s="2">
        <f>($L$12-$J$12)*SIN(2*PI()*B55/100)-$J$12*SIN(2*PI()*($L$12-$J$12)*B55/($J$12*100))</f>
        <v>1.4207962112980452</v>
      </c>
    </row>
    <row r="56" spans="2:6" x14ac:dyDescent="0.45">
      <c r="B56" s="1">
        <v>45</v>
      </c>
      <c r="C56" s="1">
        <f>($J$10+$L$10)*COS(2*PI()*B56/100)-$J$10*COS(2*PI()*($J$10+$L$10)*B56/($J$10*100))</f>
        <v>-4.1132430595555611</v>
      </c>
      <c r="D56" s="9">
        <f>($J$10+$L$10)*SIN(2*PI()*B56/100)-$J$10*SIN(2*PI()*($J$10+$L$10)*B56/($J$10*100))</f>
        <v>2.1871244937949439</v>
      </c>
      <c r="E56" s="2">
        <f>($L$12-$J$12)*COS(2*PI()*B56/100)+$J$12*COS(2*PI()*($L$12-$J$12)*B56/($J$12*100))</f>
        <v>-1.0930960382153598</v>
      </c>
      <c r="F56" s="2">
        <f>($L$12-$J$12)*SIN(2*PI()*B56/100)-$J$12*SIN(2*PI()*($L$12-$J$12)*B56/($J$12*100))</f>
        <v>1.2058192410423683</v>
      </c>
    </row>
    <row r="57" spans="2:6" x14ac:dyDescent="0.45">
      <c r="B57" s="1">
        <v>46</v>
      </c>
      <c r="C57" s="1">
        <f>($J$10+$L$10)*COS(2*PI()*B57/100)-$J$10*COS(2*PI()*($J$10+$L$10)*B57/($J$10*100))</f>
        <v>-4.4101594394935191</v>
      </c>
      <c r="D57" s="9">
        <f>($J$10+$L$10)*SIN(2*PI()*B57/100)-$J$10*SIN(2*PI()*($J$10+$L$10)*B57/($J$10*100))</f>
        <v>1.8390874741614369</v>
      </c>
      <c r="E57" s="2">
        <f>($L$12-$J$12)*COS(2*PI()*B57/100)+$J$12*COS(2*PI()*($L$12-$J$12)*B57/($J$12*100))</f>
        <v>-1.0608596422133987</v>
      </c>
      <c r="F57" s="2">
        <f>($L$12-$J$12)*SIN(2*PI()*B57/100)-$J$12*SIN(2*PI()*($L$12-$J$12)*B57/($J$12*100))</f>
        <v>0.97913344843142658</v>
      </c>
    </row>
    <row r="58" spans="2:6" x14ac:dyDescent="0.45">
      <c r="B58" s="1">
        <v>47</v>
      </c>
      <c r="C58" s="1">
        <f>($J$10+$L$10)*COS(2*PI()*B58/100)-$J$10*COS(2*PI()*($J$10+$L$10)*B58/($J$10*100))</f>
        <v>-4.6581176303361662</v>
      </c>
      <c r="D58" s="9">
        <f>($J$10+$L$10)*SIN(2*PI()*B58/100)-$J$10*SIN(2*PI()*($J$10+$L$10)*B58/($J$10*100))</f>
        <v>1.4340723642715867</v>
      </c>
      <c r="E58" s="2">
        <f>($L$12-$J$12)*COS(2*PI()*B58/100)+$J$12*COS(2*PI()*($L$12-$J$12)*B58/($J$12*100))</f>
        <v>-1.0347980155691259</v>
      </c>
      <c r="F58" s="2">
        <f>($L$12-$J$12)*SIN(2*PI()*B58/100)-$J$12*SIN(2*PI()*($L$12-$J$12)*B58/($J$12*100))</f>
        <v>0.74288718185612701</v>
      </c>
    </row>
    <row r="59" spans="2:6" x14ac:dyDescent="0.45">
      <c r="B59" s="1">
        <v>48</v>
      </c>
      <c r="C59" s="1">
        <f>($J$10+$L$10)*COS(2*PI()*B59/100)-$J$10*COS(2*PI()*($J$10+$L$10)*B59/($J$10*100))</f>
        <v>-4.8447654853017745</v>
      </c>
      <c r="D59" s="9">
        <f>($J$10+$L$10)*SIN(2*PI()*B59/100)-$J$10*SIN(2*PI()*($J$10+$L$10)*B59/($J$10*100))</f>
        <v>0.98308660835893447</v>
      </c>
      <c r="E59" s="2">
        <f>($L$12-$J$12)*COS(2*PI()*B59/100)+$J$12*COS(2*PI()*($L$12-$J$12)*B59/($J$12*100))</f>
        <v>-1.0156462415003245</v>
      </c>
      <c r="F59" s="2">
        <f>($L$12-$J$12)*SIN(2*PI()*B59/100)-$J$12*SIN(2*PI()*($L$12-$J$12)*B59/($J$12*100))</f>
        <v>0.49935635429346442</v>
      </c>
    </row>
    <row r="60" spans="2:6" x14ac:dyDescent="0.45">
      <c r="B60" s="1">
        <v>49</v>
      </c>
      <c r="C60" s="1">
        <f>($J$10+$L$10)*COS(2*PI()*B60/100)-$J$10*COS(2*PI()*($J$10+$L$10)*B60/($J$10*100))</f>
        <v>-4.9606900748417173</v>
      </c>
      <c r="D60" s="9">
        <f>($J$10+$L$10)*SIN(2*PI()*B60/100)-$J$10*SIN(2*PI()*($J$10+$L$10)*B60/($J$10*100))</f>
        <v>0.49985196528210996</v>
      </c>
      <c r="E60" s="2">
        <f>($L$12-$J$12)*COS(2*PI()*B60/100)+$J$12*COS(2*PI()*($L$12-$J$12)*B60/($J$12*100))</f>
        <v>-1.0039387555420654</v>
      </c>
      <c r="F60" s="2">
        <f>($L$12-$J$12)*SIN(2*PI()*B60/100)-$J$12*SIN(2*PI()*($L$12-$J$12)*B60/($J$12*100))</f>
        <v>0.25091427262293181</v>
      </c>
    </row>
    <row r="61" spans="2:6" x14ac:dyDescent="0.45">
      <c r="B61" s="1">
        <v>50</v>
      </c>
      <c r="C61" s="1">
        <f>($J$10+$L$10)*COS(2*PI()*B61/100)-$J$10*COS(2*PI()*($J$10+$L$10)*B61/($J$10*100))</f>
        <v>-5</v>
      </c>
      <c r="D61" s="9">
        <f>($J$10+$L$10)*SIN(2*PI()*B61/100)-$J$10*SIN(2*PI()*($J$10+$L$10)*B61/($J$10*100))</f>
        <v>9.8011876392689601E-16</v>
      </c>
      <c r="E61" s="2">
        <f>($L$12-$J$12)*COS(2*PI()*B61/100)+$J$12*COS(2*PI()*($L$12-$J$12)*B61/($J$12*100))</f>
        <v>-1</v>
      </c>
      <c r="F61" s="2">
        <f>($L$12-$J$12)*SIN(2*PI()*B61/100)-$J$12*SIN(2*PI()*($L$12-$J$12)*B61/($J$12*100))</f>
        <v>4.90059381963448E-16</v>
      </c>
    </row>
    <row r="62" spans="2:6" x14ac:dyDescent="0.45">
      <c r="B62" s="1">
        <v>51</v>
      </c>
      <c r="C62" s="1">
        <f>($J$10+$L$10)*COS(2*PI()*B62/100)-$J$10*COS(2*PI()*($J$10+$L$10)*B62/($J$10*100))</f>
        <v>-4.9606900748417173</v>
      </c>
      <c r="D62" s="9">
        <f>($J$10+$L$10)*SIN(2*PI()*B62/100)-$J$10*SIN(2*PI()*($J$10+$L$10)*B62/($J$10*100))</f>
        <v>-0.49985196528210807</v>
      </c>
      <c r="E62" s="2">
        <f>($L$12-$J$12)*COS(2*PI()*B62/100)+$J$12*COS(2*PI()*($L$12-$J$12)*B62/($J$12*100))</f>
        <v>-1.0039387555420651</v>
      </c>
      <c r="F62" s="2">
        <f>($L$12-$J$12)*SIN(2*PI()*B62/100)-$J$12*SIN(2*PI()*($L$12-$J$12)*B62/($J$12*100))</f>
        <v>-0.25091427262293087</v>
      </c>
    </row>
    <row r="63" spans="2:6" x14ac:dyDescent="0.45">
      <c r="B63" s="1">
        <v>52</v>
      </c>
      <c r="C63" s="1">
        <f>($J$10+$L$10)*COS(2*PI()*B63/100)-$J$10*COS(2*PI()*($J$10+$L$10)*B63/($J$10*100))</f>
        <v>-4.8447654853017745</v>
      </c>
      <c r="D63" s="9">
        <f>($J$10+$L$10)*SIN(2*PI()*B63/100)-$J$10*SIN(2*PI()*($J$10+$L$10)*B63/($J$10*100))</f>
        <v>-0.98308660835893258</v>
      </c>
      <c r="E63" s="2">
        <f>($L$12-$J$12)*COS(2*PI()*B63/100)+$J$12*COS(2*PI()*($L$12-$J$12)*B63/($J$12*100))</f>
        <v>-1.0156462415003247</v>
      </c>
      <c r="F63" s="2">
        <f>($L$12-$J$12)*SIN(2*PI()*B63/100)-$J$12*SIN(2*PI()*($L$12-$J$12)*B63/($J$12*100))</f>
        <v>-0.49935635429346348</v>
      </c>
    </row>
    <row r="64" spans="2:6" x14ac:dyDescent="0.45">
      <c r="B64" s="1">
        <v>53</v>
      </c>
      <c r="C64" s="1">
        <f>($J$10+$L$10)*COS(2*PI()*B64/100)-$J$10*COS(2*PI()*($J$10+$L$10)*B64/($J$10*100))</f>
        <v>-4.6581176303361653</v>
      </c>
      <c r="D64" s="9">
        <f>($J$10+$L$10)*SIN(2*PI()*B64/100)-$J$10*SIN(2*PI()*($J$10+$L$10)*B64/($J$10*100))</f>
        <v>-1.434072364271588</v>
      </c>
      <c r="E64" s="2">
        <f>($L$12-$J$12)*COS(2*PI()*B64/100)+$J$12*COS(2*PI()*($L$12-$J$12)*B64/($J$12*100))</f>
        <v>-1.0347980155691259</v>
      </c>
      <c r="F64" s="2">
        <f>($L$12-$J$12)*SIN(2*PI()*B64/100)-$J$12*SIN(2*PI()*($L$12-$J$12)*B64/($J$12*100))</f>
        <v>-0.74288718185612779</v>
      </c>
    </row>
    <row r="65" spans="2:6" x14ac:dyDescent="0.45">
      <c r="B65" s="1">
        <v>54</v>
      </c>
      <c r="C65" s="1">
        <f>($J$10+$L$10)*COS(2*PI()*B65/100)-$J$10*COS(2*PI()*($J$10+$L$10)*B65/($J$10*100))</f>
        <v>-4.4101594394935217</v>
      </c>
      <c r="D65" s="9">
        <f>($J$10+$L$10)*SIN(2*PI()*B65/100)-$J$10*SIN(2*PI()*($J$10+$L$10)*B65/($J$10*100))</f>
        <v>-1.8390874741614329</v>
      </c>
      <c r="E65" s="2">
        <f>($L$12-$J$12)*COS(2*PI()*B65/100)+$J$12*COS(2*PI()*($L$12-$J$12)*B65/($J$12*100))</f>
        <v>-1.0608596422133987</v>
      </c>
      <c r="F65" s="2">
        <f>($L$12-$J$12)*SIN(2*PI()*B65/100)-$J$12*SIN(2*PI()*($L$12-$J$12)*B65/($J$12*100))</f>
        <v>-0.97913344843142402</v>
      </c>
    </row>
    <row r="66" spans="2:6" x14ac:dyDescent="0.45">
      <c r="B66" s="1">
        <v>55</v>
      </c>
      <c r="C66" s="1">
        <f>($J$10+$L$10)*COS(2*PI()*B66/100)-$J$10*COS(2*PI()*($J$10+$L$10)*B66/($J$10*100))</f>
        <v>-4.1132430595555629</v>
      </c>
      <c r="D66" s="9">
        <f>($J$10+$L$10)*SIN(2*PI()*B66/100)-$J$10*SIN(2*PI()*($J$10+$L$10)*B66/($J$10*100))</f>
        <v>-2.1871244937949426</v>
      </c>
      <c r="E66" s="2">
        <f>($L$12-$J$12)*COS(2*PI()*B66/100)+$J$12*COS(2*PI()*($L$12-$J$12)*B66/($J$12*100))</f>
        <v>-1.0930960382153598</v>
      </c>
      <c r="F66" s="2">
        <f>($L$12-$J$12)*SIN(2*PI()*B66/100)-$J$12*SIN(2*PI()*($L$12-$J$12)*B66/($J$12*100))</f>
        <v>-1.2058192410423674</v>
      </c>
    </row>
    <row r="67" spans="2:6" x14ac:dyDescent="0.45">
      <c r="B67" s="1">
        <v>56</v>
      </c>
      <c r="C67" s="1">
        <f>($J$10+$L$10)*COS(2*PI()*B67/100)-$J$10*COS(2*PI()*($J$10+$L$10)*B67/($J$10*100))</f>
        <v>-3.7818964630823193</v>
      </c>
      <c r="D67" s="9">
        <f>($J$10+$L$10)*SIN(2*PI()*B67/100)-$J$10*SIN(2*PI()*($J$10+$L$10)*B67/($J$10*100))</f>
        <v>-2.4705249391669835</v>
      </c>
      <c r="E67" s="2">
        <f>($L$12-$J$12)*COS(2*PI()*B67/100)+$J$12*COS(2*PI()*($L$12-$J$12)*B67/($J$12*100))</f>
        <v>-1.1305843443550914</v>
      </c>
      <c r="F67" s="2">
        <f>($L$12-$J$12)*SIN(2*PI()*B67/100)-$J$12*SIN(2*PI()*($L$12-$J$12)*B67/($J$12*100))</f>
        <v>-1.4207962112980446</v>
      </c>
    </row>
    <row r="68" spans="2:6" x14ac:dyDescent="0.45">
      <c r="B68" s="1">
        <v>57</v>
      </c>
      <c r="C68" s="1">
        <f>($J$10+$L$10)*COS(2*PI()*B68/100)-$J$10*COS(2*PI()*($J$10+$L$10)*B68/($J$10*100))</f>
        <v>-3.4319268952783557</v>
      </c>
      <c r="D68" s="9">
        <f>($J$10+$L$10)*SIN(2*PI()*B68/100)-$J$10*SIN(2*PI()*($J$10+$L$10)*B68/($J$10*100))</f>
        <v>-2.6854044169889781</v>
      </c>
      <c r="E68" s="2">
        <f>($L$12-$J$12)*COS(2*PI()*B68/100)+$J$12*COS(2*PI()*($L$12-$J$12)*B68/($J$12*100))</f>
        <v>-1.172230115183349</v>
      </c>
      <c r="F68" s="2">
        <f>($L$12-$J$12)*SIN(2*PI()*B68/100)-$J$12*SIN(2*PI()*($L$12-$J$12)*B68/($J$12*100))</f>
        <v>-1.6220718259059332</v>
      </c>
    </row>
    <row r="69" spans="2:6" x14ac:dyDescent="0.45">
      <c r="B69" s="1">
        <v>58</v>
      </c>
      <c r="C69" s="1">
        <f>($J$10+$L$10)*COS(2*PI()*B69/100)-$J$10*COS(2*PI()*($J$10+$L$10)*B69/($J$10*100))</f>
        <v>-3.079447428610381</v>
      </c>
      <c r="D69" s="9">
        <f>($J$10+$L$10)*SIN(2*PI()*B69/100)-$J$10*SIN(2*PI()*($J$10+$L$10)*B69/($J$10*100))</f>
        <v>-2.8318417488728809</v>
      </c>
      <c r="E69" s="2">
        <f>($L$12-$J$12)*COS(2*PI()*B69/100)+$J$12*COS(2*PI()*($L$12-$J$12)*B69/($J$12*100))</f>
        <v>-1.2167865651087304</v>
      </c>
      <c r="F69" s="2">
        <f>($L$12-$J$12)*SIN(2*PI()*B69/100)-$J$12*SIN(2*PI()*($L$12-$J$12)*B69/($J$12*100))</f>
        <v>-1.8078352737054459</v>
      </c>
    </row>
    <row r="70" spans="2:6" x14ac:dyDescent="0.45">
      <c r="B70" s="1">
        <v>59</v>
      </c>
      <c r="C70" s="1">
        <f>($J$10+$L$10)*COS(2*PI()*B70/100)-$J$10*COS(2*PI()*($J$10+$L$10)*B70/($J$10*100))</f>
        <v>-2.7398877122593719</v>
      </c>
      <c r="D70" s="9">
        <f>($J$10+$L$10)*SIN(2*PI()*B70/100)-$J$10*SIN(2*PI()*($J$10+$L$10)*B70/($J$10*100))</f>
        <v>-2.9138204226917757</v>
      </c>
      <c r="E70" s="2">
        <f>($L$12-$J$12)*COS(2*PI()*B70/100)+$J$12*COS(2*PI()*($L$12-$J$12)*B70/($J$12*100))</f>
        <v>-1.2628765594389573</v>
      </c>
      <c r="F70" s="2">
        <f>($L$12-$J$12)*SIN(2*PI()*B70/100)-$J$12*SIN(2*PI()*($L$12-$J$12)*B70/($J$12*100))</f>
        <v>-1.9764806424240122</v>
      </c>
    </row>
    <row r="71" spans="2:6" x14ac:dyDescent="0.45">
      <c r="B71" s="1">
        <v>60</v>
      </c>
      <c r="C71" s="1">
        <f>($J$10+$L$10)*COS(2*PI()*B71/100)-$J$10*COS(2*PI()*($J$10+$L$10)*B71/($J$10*100))</f>
        <v>-2.427050983124845</v>
      </c>
      <c r="D71" s="9">
        <f>($J$10+$L$10)*SIN(2*PI()*B71/100)-$J$10*SIN(2*PI()*($J$10+$L$10)*B71/($J$10*100))</f>
        <v>-2.9389262614623659</v>
      </c>
      <c r="E71" s="2">
        <f>($L$12-$J$12)*COS(2*PI()*B71/100)+$J$12*COS(2*PI()*($L$12-$J$12)*B71/($J$12*100))</f>
        <v>-1.309016994374947</v>
      </c>
      <c r="F71" s="2">
        <f>($L$12-$J$12)*SIN(2*PI()*B71/100)-$J$12*SIN(2*PI()*($L$12-$J$12)*B71/($J$12*100))</f>
        <v>-2.1266270208800986</v>
      </c>
    </row>
    <row r="72" spans="2:6" x14ac:dyDescent="0.45">
      <c r="B72" s="1">
        <v>61</v>
      </c>
      <c r="C72" s="1">
        <f>($J$10+$L$10)*COS(2*PI()*B72/100)-$J$10*COS(2*PI()*($J$10+$L$10)*B72/($J$10*100))</f>
        <v>-2.1522764852149057</v>
      </c>
      <c r="D72" s="9">
        <f>($J$10+$L$10)*SIN(2*PI()*B72/100)-$J$10*SIN(2*PI()*($J$10+$L$10)*B72/($J$10*100))</f>
        <v>-2.9178205116794369</v>
      </c>
      <c r="E72" s="2">
        <f>($L$12-$J$12)*COS(2*PI()*B72/100)+$J$12*COS(2*PI()*($L$12-$J$12)*B72/($J$12*100))</f>
        <v>-1.3536451709658537</v>
      </c>
      <c r="F72" s="2">
        <f>($L$12-$J$12)*SIN(2*PI()*B72/100)-$J$12*SIN(2*PI()*($L$12-$J$12)*B72/($J$12*100))</f>
        <v>-2.2571352302260679</v>
      </c>
    </row>
    <row r="73" spans="2:6" x14ac:dyDescent="0.45">
      <c r="B73" s="1">
        <v>62</v>
      </c>
      <c r="C73" s="1">
        <f>($J$10+$L$10)*COS(2*PI()*B73/100)-$J$10*COS(2*PI()*($J$10+$L$10)*B73/($J$10*100))</f>
        <v>-1.9237598083711696</v>
      </c>
      <c r="D73" s="9">
        <f>($J$10+$L$10)*SIN(2*PI()*B73/100)-$J$10*SIN(2*PI()*($J$10+$L$10)*B73/($J$10*100))</f>
        <v>-2.8635216572790596</v>
      </c>
      <c r="E73" s="2">
        <f>($L$12-$J$12)*COS(2*PI()*B73/100)+$J$12*COS(2*PI()*($L$12-$J$12)*B73/($J$12*100))</f>
        <v>-1.3951467353135094</v>
      </c>
      <c r="F73" s="2">
        <f>($L$12-$J$12)*SIN(2*PI()*B73/100)-$J$12*SIN(2*PI()*($L$12-$J$12)*B73/($J$12*100))</f>
        <v>-2.3671209402856483</v>
      </c>
    </row>
    <row r="74" spans="2:6" x14ac:dyDescent="0.45">
      <c r="B74" s="1">
        <v>63</v>
      </c>
      <c r="C74" s="1">
        <f>($J$10+$L$10)*COS(2*PI()*B74/100)-$J$10*COS(2*PI()*($J$10+$L$10)*B74/($J$10*100))</f>
        <v>-1.7460737224002767</v>
      </c>
      <c r="D74" s="9">
        <f>($J$10+$L$10)*SIN(2*PI()*B74/100)-$J$10*SIN(2*PI()*($J$10+$L$10)*B74/($J$10*100))</f>
        <v>-2.7905412761213415</v>
      </c>
      <c r="E74" s="2">
        <f>($L$12-$J$12)*COS(2*PI()*B74/100)+$J$12*COS(2*PI()*($L$12-$J$12)*B74/($J$12*100))</f>
        <v>-1.4318847313866909</v>
      </c>
      <c r="F74" s="2">
        <f>($L$12-$J$12)*SIN(2*PI()*B74/100)-$J$12*SIN(2*PI()*($L$12-$J$12)*B74/($J$12*100))</f>
        <v>-2.4559639832710944</v>
      </c>
    </row>
    <row r="75" spans="2:6" x14ac:dyDescent="0.45">
      <c r="B75" s="1">
        <v>64</v>
      </c>
      <c r="C75" s="1">
        <f>($J$10+$L$10)*COS(2*PI()*B75/100)-$J$10*COS(2*PI()*($J$10+$L$10)*B75/($J$10*100))</f>
        <v>-1.619919473106507</v>
      </c>
      <c r="D75" s="9">
        <f>($J$10+$L$10)*SIN(2*PI()*B75/100)-$J$10*SIN(2*PI()*($J$10+$L$10)*B75/($J$10*100))</f>
        <v>-2.7139284184184786</v>
      </c>
      <c r="E75" s="2">
        <f>($L$12-$J$12)*COS(2*PI()*B75/100)+$J$12*COS(2*PI()*($L$12-$J$12)*B75/($J$12*100))</f>
        <v>-1.4622292940831041</v>
      </c>
      <c r="F75" s="2">
        <f>($L$12-$J$12)*SIN(2*PI()*B75/100)-$J$12*SIN(2*PI()*($L$12-$J$12)*B75/($J$12*100))</f>
        <v>-2.5233137362802673</v>
      </c>
    </row>
    <row r="76" spans="2:6" x14ac:dyDescent="0.45">
      <c r="B76" s="1">
        <v>65</v>
      </c>
      <c r="C76" s="1">
        <f>($J$10+$L$10)*COS(2*PI()*B76/100)-$J$10*COS(2*PI()*($J$10+$L$10)*B76/($J$10*100))</f>
        <v>-1.5421240147949451</v>
      </c>
      <c r="D76" s="9">
        <f>($J$10+$L$10)*SIN(2*PI()*B76/100)-$J$10*SIN(2*PI()*($J$10+$L$10)*B76/($J$10*100))</f>
        <v>-2.6482827252073169</v>
      </c>
      <c r="E76" s="2">
        <f>($L$12-$J$12)*COS(2*PI()*B76/100)+$J$12*COS(2*PI()*($L$12-$J$12)*B76/($J$12*100))</f>
        <v>-1.4845874989598937</v>
      </c>
      <c r="F76" s="2">
        <f>($L$12-$J$12)*SIN(2*PI()*B76/100)-$J$12*SIN(2*PI()*($L$12-$J$12)*B76/($J$12*100))</f>
        <v>-2.5690905050450485</v>
      </c>
    </row>
    <row r="77" spans="2:6" x14ac:dyDescent="0.45">
      <c r="B77" s="1">
        <v>66</v>
      </c>
      <c r="C77" s="1">
        <f>($J$10+$L$10)*COS(2*PI()*B77/100)-$J$10*COS(2*PI()*($J$10+$L$10)*B77/($J$10*100))</f>
        <v>-1.5058831901672969</v>
      </c>
      <c r="D77" s="9">
        <f>($J$10+$L$10)*SIN(2*PI()*B77/100)-$J$10*SIN(2*PI()*($J$10+$L$10)*B77/($J$10*100))</f>
        <v>-2.6067984592322713</v>
      </c>
      <c r="E77" s="2">
        <f>($L$12-$J$12)*COS(2*PI()*B77/100)+$J$12*COS(2*PI()*($L$12-$J$12)*B77/($J$12*100))</f>
        <v>-1.497432881523066</v>
      </c>
      <c r="F77" s="2">
        <f>($L$12-$J$12)*SIN(2*PI()*B77/100)-$J$12*SIN(2*PI()*($L$12-$J$12)*B77/($J$12*100))</f>
        <v>-2.5934829034700497</v>
      </c>
    </row>
    <row r="78" spans="2:6" x14ac:dyDescent="0.45">
      <c r="B78" s="1">
        <v>67</v>
      </c>
      <c r="C78" s="1">
        <f>($J$10+$L$10)*COS(2*PI()*B78/100)-$J$10*COS(2*PI()*($J$10+$L$10)*B78/($J$10*100))</f>
        <v>-1.5012354048417884</v>
      </c>
      <c r="D78" s="9">
        <f>($J$10+$L$10)*SIN(2*PI()*B78/100)-$J$10*SIN(2*PI()*($J$10+$L$10)*B78/($J$10*100))</f>
        <v>-2.6003996677094348</v>
      </c>
      <c r="E78" s="2">
        <f>($L$12-$J$12)*COS(2*PI()*B78/100)+$J$12*COS(2*PI()*($L$12-$J$12)*B78/($J$12*100))</f>
        <v>-1.4993341431824272</v>
      </c>
      <c r="F78" s="2">
        <f>($L$12-$J$12)*SIN(2*PI()*B78/100)-$J$12*SIN(2*PI()*($L$12-$J$12)*B78/($J$12*100))</f>
        <v>-2.5969412855897422</v>
      </c>
    </row>
    <row r="79" spans="2:6" x14ac:dyDescent="0.45">
      <c r="B79" s="1">
        <v>68</v>
      </c>
      <c r="C79" s="1">
        <f>($J$10+$L$10)*COS(2*PI()*B79/100)-$J$10*COS(2*PI()*($J$10+$L$10)*B79/($J$10*100))</f>
        <v>-1.5157358516745663</v>
      </c>
      <c r="D79" s="9">
        <f>($J$10+$L$10)*SIN(2*PI()*B79/100)-$J$10*SIN(2*PI()*($J$10+$L$10)*B79/($J$10*100))</f>
        <v>-2.6370209591353904</v>
      </c>
      <c r="E79" s="2">
        <f>($L$12-$J$12)*COS(2*PI()*B79/100)+$J$12*COS(2*PI()*($L$12-$J$12)*B79/($J$12*100))</f>
        <v>-1.4889825728788348</v>
      </c>
      <c r="F79" s="2">
        <f>($L$12-$J$12)*SIN(2*PI()*B79/100)-$J$12*SIN(2*PI()*($L$12-$J$12)*B79/($J$12*100))</f>
        <v>-2.5801673477078282</v>
      </c>
    </row>
    <row r="80" spans="2:6" x14ac:dyDescent="0.45">
      <c r="B80" s="1">
        <v>69</v>
      </c>
      <c r="C80" s="1">
        <f>($J$10+$L$10)*COS(2*PI()*B80/100)-$J$10*COS(2*PI()*($J$10+$L$10)*B80/($J$10*100))</f>
        <v>-1.5352887302680254</v>
      </c>
      <c r="D80" s="9">
        <f>($J$10+$L$10)*SIN(2*PI()*B80/100)-$J$10*SIN(2*PI()*($J$10+$L$10)*B80/($J$10*100))</f>
        <v>-2.7210792151247345</v>
      </c>
      <c r="E80" s="2">
        <f>($L$12-$J$12)*COS(2*PI()*B80/100)+$J$12*COS(2*PI()*($L$12-$J$12)*B80/($J$12*100))</f>
        <v>-1.4652177327907674</v>
      </c>
      <c r="F80" s="2">
        <f>($L$12-$J$12)*SIN(2*PI()*B80/100)-$J$12*SIN(2*PI()*($L$12-$J$12)*B80/($J$12*100))</f>
        <v>-2.5441000777051914</v>
      </c>
    </row>
    <row r="81" spans="2:6" x14ac:dyDescent="0.45">
      <c r="B81" s="1">
        <v>70</v>
      </c>
      <c r="C81" s="1">
        <f>($J$10+$L$10)*COS(2*PI()*B81/100)-$J$10*COS(2*PI()*($J$10+$L$10)*B81/($J$10*100))</f>
        <v>-1.545084971874737</v>
      </c>
      <c r="D81" s="9">
        <f>($J$10+$L$10)*SIN(2*PI()*B81/100)-$J$10*SIN(2*PI()*($J$10+$L$10)*B81/($J$10*100))</f>
        <v>-2.8531695488854605</v>
      </c>
      <c r="E81" s="2">
        <f>($L$12-$J$12)*COS(2*PI()*B81/100)+$J$12*COS(2*PI()*($L$12-$J$12)*B81/($J$12*100))</f>
        <v>-1.4270509831248424</v>
      </c>
      <c r="F81" s="2">
        <f>($L$12-$J$12)*SIN(2*PI()*B81/100)-$J$12*SIN(2*PI()*($L$12-$J$12)*B81/($J$12*100))</f>
        <v>-2.4898982848827806</v>
      </c>
    </row>
    <row r="82" spans="2:6" x14ac:dyDescent="0.45">
      <c r="B82" s="1">
        <v>71</v>
      </c>
      <c r="C82" s="1">
        <f>($J$10+$L$10)*COS(2*PI()*B82/100)-$J$10*COS(2*PI()*($J$10+$L$10)*B82/($J$10*100))</f>
        <v>-1.5305863436384155</v>
      </c>
      <c r="D82" s="9">
        <f>($J$10+$L$10)*SIN(2*PI()*B82/100)-$J$10*SIN(2*PI()*($J$10+$L$10)*B82/($J$10*100))</f>
        <v>-3.0300047190125103</v>
      </c>
      <c r="E82" s="2">
        <f>($L$12-$J$12)*COS(2*PI()*B82/100)+$J$12*COS(2*PI()*($L$12-$J$12)*B82/($J$12*100))</f>
        <v>-1.3736864543735727</v>
      </c>
      <c r="F82" s="2">
        <f>($L$12-$J$12)*SIN(2*PI()*B82/100)-$J$12*SIN(2*PI()*($L$12-$J$12)*B82/($J$12*100))</f>
        <v>-2.4189199963589769</v>
      </c>
    </row>
    <row r="83" spans="2:6" x14ac:dyDescent="0.45">
      <c r="B83" s="1">
        <v>72</v>
      </c>
      <c r="C83" s="1">
        <f>($J$10+$L$10)*COS(2*PI()*B83/100)-$J$10*COS(2*PI()*($J$10+$L$10)*B83/($J$10*100))</f>
        <v>-1.4784938857643102</v>
      </c>
      <c r="D83" s="9">
        <f>($J$10+$L$10)*SIN(2*PI()*B83/100)-$J$10*SIN(2*PI()*($J$10+$L$10)*B83/($J$10*100))</f>
        <v>-3.2446018969860662</v>
      </c>
      <c r="E83" s="2">
        <f>($L$12-$J$12)*COS(2*PI()*B83/100)+$J$12*COS(2*PI()*($L$12-$J$12)*B83/($J$12*100))</f>
        <v>-1.3045391150597008</v>
      </c>
      <c r="F83" s="2">
        <f>($L$12-$J$12)*SIN(2*PI()*B83/100)-$J$12*SIN(2*PI()*($L$12-$J$12)*B83/($J$12*100))</f>
        <v>-2.3326990541420556</v>
      </c>
    </row>
    <row r="84" spans="2:6" x14ac:dyDescent="0.45">
      <c r="B84" s="1">
        <v>73</v>
      </c>
      <c r="C84" s="1">
        <f>($J$10+$L$10)*COS(2*PI()*B84/100)-$J$10*COS(2*PI()*($J$10+$L$10)*B84/($J$10*100))</f>
        <v>-1.3776396143010814</v>
      </c>
      <c r="D84" s="9">
        <f>($J$10+$L$10)*SIN(2*PI()*B84/100)-$J$10*SIN(2*PI()*($J$10+$L$10)*B84/($J$10*100))</f>
        <v>-3.4867051311561945</v>
      </c>
      <c r="E84" s="2">
        <f>($L$12-$J$12)*COS(2*PI()*B84/100)+$J$12*COS(2*PI()*($L$12-$J$12)*B84/($J$12*100))</f>
        <v>-1.21924962825724</v>
      </c>
      <c r="F84" s="2">
        <f>($L$12-$J$12)*SIN(2*PI()*B84/100)-$J$12*SIN(2*PI()*($L$12-$J$12)*B84/($J$12*100))</f>
        <v>-2.232919289793811</v>
      </c>
    </row>
    <row r="85" spans="2:6" x14ac:dyDescent="0.45">
      <c r="B85" s="1">
        <v>74</v>
      </c>
      <c r="C85" s="1">
        <f>($J$10+$L$10)*COS(2*PI()*B85/100)-$J$10*COS(2*PI()*($J$10+$L$10)*B85/($J$10*100))</f>
        <v>-1.2197452392458841</v>
      </c>
      <c r="D85" s="9">
        <f>($J$10+$L$10)*SIN(2*PI()*B85/100)-$J$10*SIN(2*PI()*($J$10+$L$10)*B85/($J$10*100))</f>
        <v>-3.7434170265482321</v>
      </c>
      <c r="E85" s="2">
        <f>($L$12-$J$12)*COS(2*PI()*B85/100)+$J$12*COS(2*PI()*($L$12-$J$12)*B85/($J$12*100))</f>
        <v>-1.1176957403731043</v>
      </c>
      <c r="F85" s="2">
        <f>($L$12-$J$12)*SIN(2*PI()*B85/100)-$J$12*SIN(2*PI()*($L$12-$J$12)*B85/($J$12*100))</f>
        <v>-2.1213866904208469</v>
      </c>
    </row>
    <row r="86" spans="2:6" x14ac:dyDescent="0.45">
      <c r="B86" s="1">
        <v>75</v>
      </c>
      <c r="C86" s="1">
        <f>($J$10+$L$10)*COS(2*PI()*B86/100)-$J$10*COS(2*PI()*($J$10+$L$10)*B86/($J$10*100))</f>
        <v>-1.0000000000000007</v>
      </c>
      <c r="D86" s="9">
        <f>($J$10+$L$10)*SIN(2*PI()*B86/100)-$J$10*SIN(2*PI()*($J$10+$L$10)*B86/($J$10*100))</f>
        <v>-3.9999999999999991</v>
      </c>
      <c r="E86" s="2">
        <f>($L$12-$J$12)*COS(2*PI()*B86/100)+$J$12*COS(2*PI()*($L$12-$J$12)*B86/($J$12*100))</f>
        <v>-1.0000000000000004</v>
      </c>
      <c r="F86" s="2">
        <f>($L$12-$J$12)*SIN(2*PI()*B86/100)-$J$12*SIN(2*PI()*($L$12-$J$12)*B86/($J$12*100))</f>
        <v>-2.0000000000000004</v>
      </c>
    </row>
    <row r="87" spans="2:6" x14ac:dyDescent="0.45">
      <c r="B87" s="1">
        <v>76</v>
      </c>
      <c r="C87" s="1">
        <f>($J$10+$L$10)*COS(2*PI()*B87/100)-$J$10*COS(2*PI()*($J$10+$L$10)*B87/($J$10*100))</f>
        <v>-0.7174210830113803</v>
      </c>
      <c r="D87" s="9">
        <f>($J$10+$L$10)*SIN(2*PI()*B87/100)-$J$10*SIN(2*PI()*($J$10+$L$10)*B87/($J$10*100))</f>
        <v>-4.2407968008779386</v>
      </c>
      <c r="E87" s="2">
        <f>($L$12-$J$12)*COS(2*PI()*B87/100)+$J$12*COS(2*PI()*($L$12-$J$12)*B87/($J$12*100))</f>
        <v>-0.86653366225585238</v>
      </c>
      <c r="F87" s="2">
        <f>($L$12-$J$12)*SIN(2*PI()*B87/100)-$J$12*SIN(2*PI()*($L$12-$J$12)*B87/($J$12*100))</f>
        <v>-1.87072022329224</v>
      </c>
    </row>
    <row r="88" spans="2:6" x14ac:dyDescent="0.45">
      <c r="B88" s="1">
        <v>77</v>
      </c>
      <c r="C88" s="1">
        <f>($J$10+$L$10)*COS(2*PI()*B88/100)-$J$10*COS(2*PI()*($J$10+$L$10)*B88/($J$10*100))</f>
        <v>-0.37497374578664666</v>
      </c>
      <c r="D88" s="9">
        <f>($J$10+$L$10)*SIN(2*PI()*B88/100)-$J$10*SIN(2*PI()*($J$10+$L$10)*B88/($J$10*100))</f>
        <v>-4.4502124793596263</v>
      </c>
      <c r="E88" s="2">
        <f>($L$12-$J$12)*COS(2*PI()*B88/100)+$J$12*COS(2*PI()*($L$12-$J$12)*B88/($J$12*100))</f>
        <v>-0.71791669400002256</v>
      </c>
      <c r="F88" s="2">
        <f>($L$12-$J$12)*SIN(2*PI()*B88/100)-$J$12*SIN(2*PI()*($L$12-$J$12)*B88/($J$12*100))</f>
        <v>-1.7355395154641009</v>
      </c>
    </row>
    <row r="89" spans="2:6" x14ac:dyDescent="0.45">
      <c r="B89" s="1">
        <v>78</v>
      </c>
      <c r="C89" s="1">
        <f>($J$10+$L$10)*COS(2*PI()*B89/100)-$J$10*COS(2*PI()*($J$10+$L$10)*B89/($J$10*100))</f>
        <v>2.055663092148452E-2</v>
      </c>
      <c r="D89" s="9">
        <f>($J$10+$L$10)*SIN(2*PI()*B89/100)-$J$10*SIN(2*PI()*($J$10+$L$10)*B89/($J$10*100))</f>
        <v>-4.6136961088434427</v>
      </c>
      <c r="E89" s="2">
        <f>($L$12-$J$12)*COS(2*PI()*B89/100)+$J$12*COS(2*PI()*($L$12-$J$12)*B89/($J$12*100))</f>
        <v>-0.55501385671680314</v>
      </c>
      <c r="F89" s="2">
        <f>($L$12-$J$12)*SIN(2*PI()*B89/100)-$J$12*SIN(2*PI()*($L$12-$J$12)*B89/($J$12*100))</f>
        <v>-1.5964499487727002</v>
      </c>
    </row>
    <row r="90" spans="2:6" x14ac:dyDescent="0.45">
      <c r="B90" s="1">
        <v>79</v>
      </c>
      <c r="C90" s="1">
        <f>($J$10+$L$10)*COS(2*PI()*B90/100)-$J$10*COS(2*PI()*($J$10+$L$10)*B90/($J$10*100))</f>
        <v>0.45893275368042363</v>
      </c>
      <c r="D90" s="9">
        <f>($J$10+$L$10)*SIN(2*PI()*B90/100)-$J$10*SIN(2*PI()*($J$10+$L$10)*B90/($J$10*100))</f>
        <v>-4.7186605700165396</v>
      </c>
      <c r="E90" s="2">
        <f>($L$12-$J$12)*COS(2*PI()*B90/100)+$J$12*COS(2*PI()*($L$12-$J$12)*B90/($J$12*100))</f>
        <v>-0.37892690571415361</v>
      </c>
      <c r="F90" s="2">
        <f>($L$12-$J$12)*SIN(2*PI()*B90/100)-$J$12*SIN(2*PI()*($L$12-$J$12)*B90/($J$12*100))</f>
        <v>-1.4554126481555465</v>
      </c>
    </row>
    <row r="91" spans="2:6" x14ac:dyDescent="0.45">
      <c r="B91" s="1">
        <v>80</v>
      </c>
      <c r="C91" s="1">
        <f>($J$10+$L$10)*COS(2*PI()*B91/100)-$J$10*COS(2*PI()*($J$10+$L$10)*B91/($J$10*100))</f>
        <v>0.9270509831248408</v>
      </c>
      <c r="D91" s="9">
        <f>($J$10+$L$10)*SIN(2*PI()*B91/100)-$J$10*SIN(2*PI()*($J$10+$L$10)*B91/($J$10*100))</f>
        <v>-4.7552825814757682</v>
      </c>
      <c r="E91" s="2">
        <f>($L$12-$J$12)*COS(2*PI()*B91/100)+$J$12*COS(2*PI()*($L$12-$J$12)*B91/($J$12*100))</f>
        <v>-0.19098300562505321</v>
      </c>
      <c r="F91" s="2">
        <f>($L$12-$J$12)*SIN(2*PI()*B91/100)-$J$12*SIN(2*PI()*($L$12-$J$12)*B91/($J$12*100))</f>
        <v>-1.3143277802978344</v>
      </c>
    </row>
    <row r="92" spans="2:6" x14ac:dyDescent="0.45">
      <c r="B92" s="1">
        <v>81</v>
      </c>
      <c r="C92" s="1">
        <f>($J$10+$L$10)*COS(2*PI()*B92/100)-$J$10*COS(2*PI()*($J$10+$L$10)*B92/($J$10*100))</f>
        <v>1.4097076912093942</v>
      </c>
      <c r="D92" s="9">
        <f>($J$10+$L$10)*SIN(2*PI()*B92/100)-$J$10*SIN(2*PI()*($J$10+$L$10)*B92/($J$10*100))</f>
        <v>-4.7171326719812781</v>
      </c>
      <c r="E92" s="2">
        <f>($L$12-$J$12)*COS(2*PI()*B92/100)+$J$12*COS(2*PI()*($L$12-$J$12)*B92/($J$12*100))</f>
        <v>7.2804779479425097E-3</v>
      </c>
      <c r="F92" s="2">
        <f>($L$12-$J$12)*SIN(2*PI()*B92/100)-$J$12*SIN(2*PI()*($L$12-$J$12)*B92/($J$12*100))</f>
        <v>-1.1750058658478153</v>
      </c>
    </row>
    <row r="93" spans="2:6" x14ac:dyDescent="0.45">
      <c r="B93" s="1">
        <v>82</v>
      </c>
      <c r="C93" s="1">
        <f>($J$10+$L$10)*COS(2*PI()*B93/100)-$J$10*COS(2*PI()*($J$10+$L$10)*B93/($J$10*100))</f>
        <v>1.8904984808460084</v>
      </c>
      <c r="D93" s="9">
        <f>($J$10+$L$10)*SIN(2*PI()*B93/100)-$J$10*SIN(2*PI()*($J$10+$L$10)*B93/($J$10*100))</f>
        <v>-4.6015954605927689</v>
      </c>
      <c r="E93" s="2">
        <f>($L$12-$J$12)*COS(2*PI()*B93/100)+$J$12*COS(2*PI()*($L$12-$J$12)*B93/($J$12*100))</f>
        <v>0.21413459338145258</v>
      </c>
      <c r="F93" s="2">
        <f>($L$12-$J$12)*SIN(2*PI()*B93/100)-$J$12*SIN(2*PI()*($L$12-$J$12)*B93/($J$12*100))</f>
        <v>-1.0391408621562519</v>
      </c>
    </row>
    <row r="94" spans="2:6" x14ac:dyDescent="0.45">
      <c r="B94" s="1">
        <v>83</v>
      </c>
      <c r="C94" s="1">
        <f>($J$10+$L$10)*COS(2*PI()*B94/100)-$J$10*COS(2*PI()*($J$10+$L$10)*B94/($J$10*100))</f>
        <v>2.3527939879719373</v>
      </c>
      <c r="D94" s="9">
        <f>($J$10+$L$10)*SIN(2*PI()*B94/100)-$J$10*SIN(2*PI()*($J$10+$L$10)*B94/($J$10*100))</f>
        <v>-4.4100537726414721</v>
      </c>
      <c r="E94" s="2">
        <f>($L$12-$J$12)*COS(2*PI()*B94/100)+$J$12*COS(2*PI()*($L$12-$J$12)*B94/($J$12*100))</f>
        <v>0.42768055322443566</v>
      </c>
      <c r="F94" s="2">
        <f>($L$12-$J$12)*SIN(2*PI()*B94/100)-$J$12*SIN(2*PI()*($L$12-$J$12)*B94/($J$12*100))</f>
        <v>-0.90828543458571109</v>
      </c>
    </row>
    <row r="95" spans="2:6" x14ac:dyDescent="0.45">
      <c r="B95" s="1">
        <v>84</v>
      </c>
      <c r="C95" s="1">
        <f>($J$10+$L$10)*COS(2*PI()*B95/100)-$J$10*COS(2*PI()*($J$10+$L$10)*B95/($J$10*100))</f>
        <v>2.7807311696646773</v>
      </c>
      <c r="D95" s="9">
        <f>($J$10+$L$10)*SIN(2*PI()*B95/100)-$J$10*SIN(2*PI()*($J$10+$L$10)*B95/($J$10*100))</f>
        <v>-4.1478249447838484</v>
      </c>
      <c r="E95" s="2">
        <f>($L$12-$J$12)*COS(2*PI()*B95/100)+$J$12*COS(2*PI()*($L$12-$J$12)*B95/($J$12*100))</f>
        <v>0.6458742983929211</v>
      </c>
      <c r="F95" s="2">
        <f>($L$12-$J$12)*SIN(2*PI()*B95/100)-$J$12*SIN(2*PI()*($L$12-$J$12)*B95/($J$12*100))</f>
        <v>-0.78382879853801024</v>
      </c>
    </row>
    <row r="96" spans="2:6" x14ac:dyDescent="0.45">
      <c r="B96" s="1">
        <v>85</v>
      </c>
      <c r="C96" s="1">
        <f>($J$10+$L$10)*COS(2*PI()*B96/100)-$J$10*COS(2*PI()*($J$10+$L$10)*B96/($J$10*100))</f>
        <v>3.1601580035448387</v>
      </c>
      <c r="D96" s="9">
        <f>($J$10+$L$10)*SIN(2*PI()*B96/100)-$J$10*SIN(2*PI()*($J$10+$L$10)*B96/($J$10*100))</f>
        <v>-3.8238532297922641</v>
      </c>
      <c r="E96" s="2">
        <f>($L$12-$J$12)*COS(2*PI()*B96/100)+$J$12*COS(2*PI()*($L$12-$J$12)*B96/($J$12*100))</f>
        <v>0.86655351020999793</v>
      </c>
      <c r="F96" s="2">
        <f>($L$12-$J$12)*SIN(2*PI()*B96/100)-$J$12*SIN(2*PI()*($L$12-$J$12)*B96/($J$12*100))</f>
        <v>-0.6669774724547417</v>
      </c>
    </row>
    <row r="97" spans="2:6" x14ac:dyDescent="0.45">
      <c r="B97" s="1">
        <v>86</v>
      </c>
      <c r="C97" s="1">
        <f>($J$10+$L$10)*COS(2*PI()*B97/100)-$J$10*COS(2*PI()*($J$10+$L$10)*B97/($J$10*100))</f>
        <v>3.4794724448830077</v>
      </c>
      <c r="D97" s="9">
        <f>($J$10+$L$10)*SIN(2*PI()*B97/100)-$J$10*SIN(2*PI()*($J$10+$L$10)*B97/($J$10*100))</f>
        <v>-3.4501775237878385</v>
      </c>
      <c r="E97" s="2">
        <f>($L$12-$J$12)*COS(2*PI()*B97/100)+$J$12*COS(2*PI()*($L$12-$J$12)*B97/($J$12*100))</f>
        <v>1.0874666649116529</v>
      </c>
      <c r="F97" s="2">
        <f>($L$12-$J$12)*SIN(2*PI()*B97/100)-$J$12*SIN(2*PI()*($L$12-$J$12)*B97/($J$12*100))</f>
        <v>-0.55873923482289067</v>
      </c>
    </row>
    <row r="98" spans="2:6" x14ac:dyDescent="0.45">
      <c r="B98" s="1">
        <v>87</v>
      </c>
      <c r="C98" s="1">
        <f>($J$10+$L$10)*COS(2*PI()*B98/100)-$J$10*COS(2*PI()*($J$10+$L$10)*B98/($J$10*100))</f>
        <v>3.7303031250292289</v>
      </c>
      <c r="D98" s="9">
        <f>($J$10+$L$10)*SIN(2*PI()*B98/100)-$J$10*SIN(2*PI()*($J$10+$L$10)*B98/($J$10*100))</f>
        <v>-3.0412077432499562</v>
      </c>
      <c r="E98" s="2">
        <f>($L$12-$J$12)*COS(2*PI()*B98/100)+$J$12*COS(2*PI()*($L$12-$J$12)*B98/($J$12*100))</f>
        <v>1.3063036923280607</v>
      </c>
      <c r="F98" s="2">
        <f>($L$12-$J$12)*SIN(2*PI()*B98/100)-$J$12*SIN(2*PI()*($L$12-$J$12)*B98/($J$12*100))</f>
        <v>-0.45991052641455277</v>
      </c>
    </row>
    <row r="99" spans="2:6" x14ac:dyDescent="0.45">
      <c r="B99" s="1">
        <v>88</v>
      </c>
      <c r="C99" s="1">
        <f>($J$10+$L$10)*COS(2*PI()*B99/100)-$J$10*COS(2*PI()*($J$10+$L$10)*B99/($J$10*100))</f>
        <v>3.9079892110001229</v>
      </c>
      <c r="D99" s="9">
        <f>($J$10+$L$10)*SIN(2*PI()*B99/100)-$J$10*SIN(2*PI()*($J$10+$L$10)*B99/($J$10*100))</f>
        <v>-2.6128551901504533</v>
      </c>
      <c r="E99" s="2">
        <f>($L$12-$J$12)*COS(2*PI()*B99/100)+$J$12*COS(2*PI()*($L$12-$J$12)*B99/($J$12*100))</f>
        <v>1.520727774372135</v>
      </c>
      <c r="F99" s="2">
        <f>($L$12-$J$12)*SIN(2*PI()*B99/100)-$J$12*SIN(2*PI()*($L$12-$J$12)*B99/($J$12*100))</f>
        <v>-0.37106748342910634</v>
      </c>
    </row>
    <row r="100" spans="2:6" x14ac:dyDescent="0.45">
      <c r="B100" s="1">
        <v>89</v>
      </c>
      <c r="C100" s="1">
        <f>($J$10+$L$10)*COS(2*PI()*B100/100)-$J$10*COS(2*PI()*($J$10+$L$10)*B100/($J$10*100))</f>
        <v>4.0118294569914088</v>
      </c>
      <c r="D100" s="9">
        <f>($J$10+$L$10)*SIN(2*PI()*B100/100)-$J$10*SIN(2*PI()*($J$10+$L$10)*B100/($J$10*100))</f>
        <v>-2.1815714063100802</v>
      </c>
      <c r="E100" s="2">
        <f>($L$12-$J$12)*COS(2*PI()*B100/100)+$J$12*COS(2*PI()*($L$12-$J$12)*B100/($J$12*100))</f>
        <v>1.7284078001373036</v>
      </c>
      <c r="F100" s="2">
        <f>($L$12-$J$12)*SIN(2*PI()*B100/100)-$J$12*SIN(2*PI()*($L$12-$J$12)*B100/($J$12*100))</f>
        <v>-0.29256072876869066</v>
      </c>
    </row>
    <row r="101" spans="2:6" x14ac:dyDescent="0.45">
      <c r="B101" s="1">
        <v>90</v>
      </c>
      <c r="C101" s="1">
        <f>($J$10+$L$10)*COS(2*PI()*B101/100)-$J$10*COS(2*PI()*($J$10+$L$10)*B101/($J$10*100))</f>
        <v>4.0450849718747373</v>
      </c>
      <c r="D101" s="9">
        <f>($J$10+$L$10)*SIN(2*PI()*B101/100)-$J$10*SIN(2*PI()*($J$10+$L$10)*B101/($J$10*100))</f>
        <v>-1.763355756877421</v>
      </c>
      <c r="E101" s="2">
        <f>($L$12-$J$12)*COS(2*PI()*B101/100)+$J$12*COS(2*PI()*($L$12-$J$12)*B101/($J$12*100))</f>
        <v>1.9270509831248417</v>
      </c>
      <c r="F101" s="2">
        <f>($L$12-$J$12)*SIN(2*PI()*B101/100)-$J$12*SIN(2*PI()*($L$12-$J$12)*B101/($J$12*100))</f>
        <v>-0.22451398828979297</v>
      </c>
    </row>
    <row r="102" spans="2:6" x14ac:dyDescent="0.45">
      <c r="B102" s="1">
        <v>91</v>
      </c>
      <c r="C102" s="1">
        <f>($J$10+$L$10)*COS(2*PI()*B102/100)-$J$10*COS(2*PI()*($J$10+$L$10)*B102/($J$10*100))</f>
        <v>4.0147356917567505</v>
      </c>
      <c r="D102" s="9">
        <f>($J$10+$L$10)*SIN(2*PI()*B102/100)-$J$10*SIN(2*PI()*($J$10+$L$10)*B102/($J$10*100))</f>
        <v>-1.3727939371402007</v>
      </c>
      <c r="E102" s="2">
        <f>($L$12-$J$12)*COS(2*PI()*B102/100)+$J$12*COS(2*PI()*($L$12-$J$12)*B102/($J$12*100))</f>
        <v>2.1144351425691013</v>
      </c>
      <c r="F102" s="2">
        <f>($L$12-$J$12)*SIN(2*PI()*B102/100)-$J$12*SIN(2*PI()*($L$12-$J$12)*B102/($J$12*100))</f>
        <v>-0.16682653749197418</v>
      </c>
    </row>
    <row r="103" spans="2:6" x14ac:dyDescent="0.45">
      <c r="B103" s="1">
        <v>92</v>
      </c>
      <c r="C103" s="1">
        <f>($J$10+$L$10)*COS(2*PI()*B103/100)-$J$10*COS(2*PI()*($J$10+$L$10)*B103/($J$10*100))</f>
        <v>3.9310060117405285</v>
      </c>
      <c r="D103" s="9">
        <f>($J$10+$L$10)*SIN(2*PI()*B103/100)-$J$10*SIN(2*PI()*($J$10+$L$10)*B103/($J$10*100))</f>
        <v>-1.0221876439408466</v>
      </c>
      <c r="E103" s="2">
        <f>($L$12-$J$12)*COS(2*PI()*B103/100)+$J$12*COS(2*PI()*($L$12-$J$12)*B103/($J$12*100))</f>
        <v>2.2884401550667213</v>
      </c>
      <c r="F103" s="2">
        <f>($L$12-$J$12)*SIN(2*PI()*B103/100)-$J$12*SIN(2*PI()*($L$12-$J$12)*B103/($J$12*100))</f>
        <v>-0.11917942270141613</v>
      </c>
    </row>
    <row r="104" spans="2:6" x14ac:dyDescent="0.45">
      <c r="B104" s="1">
        <v>93</v>
      </c>
      <c r="C104" s="1">
        <f>($J$10+$L$10)*COS(2*PI()*B104/100)-$J$10*COS(2*PI()*($J$10+$L$10)*B104/($J$10*100))</f>
        <v>3.8066895244498036</v>
      </c>
      <c r="D104" s="9">
        <f>($J$10+$L$10)*SIN(2*PI()*B104/100)-$J$10*SIN(2*PI()*($J$10+$L$10)*B104/($J$10*100))</f>
        <v>-0.72082991553160358</v>
      </c>
      <c r="E104" s="2">
        <f>($L$12-$J$12)*COS(2*PI()*B104/100)+$J$12*COS(2*PI()*($L$12-$J$12)*B104/($J$12*100))</f>
        <v>2.4470780946807276</v>
      </c>
      <c r="F104" s="2">
        <f>($L$12-$J$12)*SIN(2*PI()*B104/100)-$J$12*SIN(2*PI()*($L$12-$J$12)*B104/($J$12*100))</f>
        <v>-8.1045340354356288E-2</v>
      </c>
    </row>
    <row r="105" spans="2:6" x14ac:dyDescent="0.45">
      <c r="B105" s="1">
        <v>94</v>
      </c>
      <c r="C105" s="1">
        <f>($J$10+$L$10)*COS(2*PI()*B105/100)-$J$10*COS(2*PI()*($J$10+$L$10)*B105/($J$10*100))</f>
        <v>3.6563154240236919</v>
      </c>
      <c r="D105" s="9">
        <f>($J$10+$L$10)*SIN(2*PI()*B105/100)-$J$10*SIN(2*PI()*($J$10+$L$10)*B105/($J$10*100))</f>
        <v>-0.4744714823104399</v>
      </c>
      <c r="E105" s="2">
        <f>($L$12-$J$12)*COS(2*PI()*B105/100)+$J$12*COS(2*PI()*($L$12-$J$12)*B105/($J$12*100))</f>
        <v>2.5885215991979145</v>
      </c>
      <c r="F105" s="2">
        <f>($L$12-$J$12)*SIN(2*PI()*B105/100)-$J$12*SIN(2*PI()*($L$12-$J$12)*B105/($J$12*100))</f>
        <v>-5.1701999440667223E-2</v>
      </c>
    </row>
    <row r="106" spans="2:6" x14ac:dyDescent="0.45">
      <c r="B106" s="1">
        <v>95</v>
      </c>
      <c r="C106" s="1">
        <f>($J$10+$L$10)*COS(2*PI()*B106/100)-$J$10*COS(2*PI()*($J$10+$L$10)*B106/($J$10*100))</f>
        <v>3.4952090708056676</v>
      </c>
      <c r="D106" s="9">
        <f>($J$10+$L$10)*SIN(2*PI()*B106/100)-$J$10*SIN(2*PI()*($J$10+$L$10)*B106/($J$10*100))</f>
        <v>-0.28501146120463661</v>
      </c>
      <c r="E106" s="2">
        <f>($L$12-$J$12)*COS(2*PI()*B106/100)+$J$12*COS(2*PI()*($L$12-$J$12)*B106/($J$12*100))</f>
        <v>2.7111300269652543</v>
      </c>
      <c r="F106" s="2">
        <f>($L$12-$J$12)*SIN(2*PI()*B106/100)-$J$12*SIN(2*PI()*($L$12-$J$12)*B106/($J$12*100))</f>
        <v>-3.0248736457421765E-2</v>
      </c>
    </row>
    <row r="107" spans="2:6" x14ac:dyDescent="0.45">
      <c r="B107" s="1">
        <v>96</v>
      </c>
      <c r="C107" s="1">
        <f>($J$10+$L$10)*COS(2*PI()*B107/100)-$J$10*COS(2*PI()*($J$10+$L$10)*B107/($J$10*100))</f>
        <v>3.3385058495355291</v>
      </c>
      <c r="D107" s="9">
        <f>($J$10+$L$10)*SIN(2*PI()*B107/100)-$J$10*SIN(2*PI()*($J$10+$L$10)*B107/($J$10*100))</f>
        <v>-0.1504316231574051</v>
      </c>
      <c r="E107" s="2">
        <f>($L$12-$J$12)*COS(2*PI()*B107/100)+$J$12*COS(2*PI()*($L$12-$J$12)*B107/($J$12*100))</f>
        <v>2.8134730023011247</v>
      </c>
      <c r="F107" s="2">
        <f>($L$12-$J$12)*SIN(2*PI()*B107/100)-$J$12*SIN(2*PI()*($L$12-$J$12)*B107/($J$12*100))</f>
        <v>-1.5626100227994377E-2</v>
      </c>
    </row>
    <row r="108" spans="2:6" x14ac:dyDescent="0.45">
      <c r="B108" s="1">
        <v>97</v>
      </c>
      <c r="C108" s="1">
        <f>($J$10+$L$10)*COS(2*PI()*B108/100)-$J$10*COS(2*PI()*($J$10+$L$10)*B108/($J$10*100))</f>
        <v>3.2001803754933436</v>
      </c>
      <c r="D108" s="9">
        <f>($J$10+$L$10)*SIN(2*PI()*B108/100)-$J$10*SIN(2*PI()*($J$10+$L$10)*B108/($J$10*100))</f>
        <v>-6.49781524142099E-2</v>
      </c>
      <c r="E108" s="2">
        <f>($L$12-$J$12)*COS(2*PI()*B108/100)+$J$12*COS(2*PI()*($L$12-$J$12)*B108/($J$12*100))</f>
        <v>2.8943509873456286</v>
      </c>
      <c r="F108" s="2">
        <f>($L$12-$J$12)*SIN(2*PI()*B108/100)-$J$12*SIN(2*PI()*($L$12-$J$12)*B108/($J$12*100))</f>
        <v>-6.6380764867712827E-3</v>
      </c>
    </row>
    <row r="109" spans="2:6" x14ac:dyDescent="0.45">
      <c r="B109" s="1">
        <v>98</v>
      </c>
      <c r="C109" s="1">
        <f>($J$10+$L$10)*COS(2*PI()*B109/100)-$J$10*COS(2*PI()*($J$10+$L$10)*B109/($J$10*100))</f>
        <v>3.0921521252140485</v>
      </c>
      <c r="D109" s="9">
        <f>($J$10+$L$10)*SIN(2*PI()*B109/100)-$J$10*SIN(2*PI()*($J$10+$L$10)*B109/($J$10*100))</f>
        <v>-1.9579260155501821E-2</v>
      </c>
      <c r="E109" s="2">
        <f>($L$12-$J$12)*COS(2*PI()*B109/100)+$J$12*COS(2*PI()*($L$12-$J$12)*B109/($J$12*100))</f>
        <v>2.9528125637575866</v>
      </c>
      <c r="F109" s="2">
        <f>($L$12-$J$12)*SIN(2*PI()*B109/100)-$J$12*SIN(2*PI()*($L$12-$J$12)*B109/($J$12*100))</f>
        <v>-1.976579963753694E-3</v>
      </c>
    </row>
    <row r="110" spans="2:6" x14ac:dyDescent="0.45">
      <c r="B110" s="1">
        <v>99</v>
      </c>
      <c r="C110" s="1">
        <f>($J$10+$L$10)*COS(2*PI()*B110/100)-$J$10*COS(2*PI()*($J$10+$L$10)*B110/($J$10*100))</f>
        <v>3.0235237525844552</v>
      </c>
      <c r="D110" s="9">
        <f>($J$10+$L$10)*SIN(2*PI()*B110/100)-$J$10*SIN(2*PI()*($J$10+$L$10)*B110/($J$10*100))</f>
        <v>-2.4721909523987007E-3</v>
      </c>
      <c r="E110" s="2">
        <f>($L$12-$J$12)*COS(2*PI()*B110/100)+$J$12*COS(2*PI()*($L$12-$J$12)*B110/($J$12*100))</f>
        <v>2.9881681581710211</v>
      </c>
      <c r="F110" s="2">
        <f>($L$12-$J$12)*SIN(2*PI()*B110/100)-$J$12*SIN(2*PI()*($L$12-$J$12)*B110/($J$12*100))</f>
        <v>-2.4780549432251719E-4</v>
      </c>
    </row>
    <row r="111" spans="2:6" ht="18.600000000000001" thickBot="1" x14ac:dyDescent="0.5">
      <c r="B111" s="3">
        <v>100</v>
      </c>
      <c r="C111" s="3">
        <f>($J$10+$L$10)*COS(2*PI()*B111/100)-$J$10*COS(2*PI()*($J$10+$L$10)*B111/($J$10*100))</f>
        <v>3</v>
      </c>
      <c r="D111" s="10">
        <f>($J$10+$L$10)*SIN(2*PI()*B111/100)-$J$10*SIN(2*PI()*($J$10+$L$10)*B111/($J$10*100))</f>
        <v>0</v>
      </c>
      <c r="E111" s="4">
        <f>($L$12-$J$12)*COS(2*PI()*B111/100)+$J$12*COS(2*PI()*($L$12-$J$12)*B111/($J$12*100))</f>
        <v>3</v>
      </c>
      <c r="F111" s="4">
        <f>($L$12-$J$12)*SIN(2*PI()*B111/100)-$J$12*SIN(2*PI()*($L$12-$J$12)*B111/($J$12*100))</f>
        <v>0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78F57-5B5C-4AF8-BCCC-EBCFF6AF8528}">
  <dimension ref="B8:G110"/>
  <sheetViews>
    <sheetView workbookViewId="0">
      <selection activeCell="B9" sqref="B9"/>
    </sheetView>
  </sheetViews>
  <sheetFormatPr defaultRowHeight="18" x14ac:dyDescent="0.45"/>
  <sheetData>
    <row r="8" spans="2:7" ht="18.600000000000001" thickBot="1" x14ac:dyDescent="0.5"/>
    <row r="9" spans="2:7" ht="18.600000000000001" thickBot="1" x14ac:dyDescent="0.5">
      <c r="B9" s="6" t="s">
        <v>4</v>
      </c>
      <c r="C9" s="8" t="s">
        <v>6</v>
      </c>
      <c r="D9" s="7" t="s">
        <v>7</v>
      </c>
      <c r="F9" s="11" t="s">
        <v>15</v>
      </c>
      <c r="G9" s="5">
        <v>3</v>
      </c>
    </row>
    <row r="10" spans="2:7" ht="18.600000000000001" thickBot="1" x14ac:dyDescent="0.5">
      <c r="B10" s="1">
        <v>0</v>
      </c>
      <c r="C10" s="9"/>
      <c r="D10" s="2"/>
      <c r="F10" s="22" t="s">
        <v>16</v>
      </c>
      <c r="G10" s="4">
        <v>2</v>
      </c>
    </row>
    <row r="11" spans="2:7" ht="18.600000000000001" thickBot="1" x14ac:dyDescent="0.5">
      <c r="B11" s="1">
        <v>1</v>
      </c>
      <c r="C11" s="9"/>
      <c r="D11" s="2"/>
      <c r="F11" s="11" t="s">
        <v>17</v>
      </c>
      <c r="G11" s="5"/>
    </row>
    <row r="12" spans="2:7" x14ac:dyDescent="0.45">
      <c r="B12" s="1">
        <v>2</v>
      </c>
      <c r="C12" s="9"/>
      <c r="D12" s="2"/>
    </row>
    <row r="13" spans="2:7" x14ac:dyDescent="0.45">
      <c r="B13" s="1">
        <v>3</v>
      </c>
      <c r="C13" s="9"/>
      <c r="D13" s="2"/>
    </row>
    <row r="14" spans="2:7" x14ac:dyDescent="0.45">
      <c r="B14" s="1">
        <v>4</v>
      </c>
      <c r="C14" s="9"/>
      <c r="D14" s="2"/>
    </row>
    <row r="15" spans="2:7" x14ac:dyDescent="0.45">
      <c r="B15" s="1">
        <v>5</v>
      </c>
      <c r="C15" s="9"/>
      <c r="D15" s="2"/>
    </row>
    <row r="16" spans="2:7" x14ac:dyDescent="0.45">
      <c r="B16" s="1">
        <v>6</v>
      </c>
      <c r="C16" s="9"/>
      <c r="D16" s="2"/>
    </row>
    <row r="17" spans="2:4" x14ac:dyDescent="0.45">
      <c r="B17" s="1">
        <v>7</v>
      </c>
      <c r="C17" s="9"/>
      <c r="D17" s="2"/>
    </row>
    <row r="18" spans="2:4" x14ac:dyDescent="0.45">
      <c r="B18" s="1">
        <v>8</v>
      </c>
      <c r="C18" s="9"/>
      <c r="D18" s="2"/>
    </row>
    <row r="19" spans="2:4" x14ac:dyDescent="0.45">
      <c r="B19" s="1">
        <v>9</v>
      </c>
      <c r="C19" s="9"/>
      <c r="D19" s="2"/>
    </row>
    <row r="20" spans="2:4" x14ac:dyDescent="0.45">
      <c r="B20" s="1">
        <v>10</v>
      </c>
      <c r="C20" s="9"/>
      <c r="D20" s="2"/>
    </row>
    <row r="21" spans="2:4" x14ac:dyDescent="0.45">
      <c r="B21" s="1">
        <v>11</v>
      </c>
      <c r="C21" s="9"/>
      <c r="D21" s="2"/>
    </row>
    <row r="22" spans="2:4" x14ac:dyDescent="0.45">
      <c r="B22" s="1">
        <v>12</v>
      </c>
      <c r="C22" s="9"/>
      <c r="D22" s="2"/>
    </row>
    <row r="23" spans="2:4" x14ac:dyDescent="0.45">
      <c r="B23" s="1">
        <v>13</v>
      </c>
      <c r="C23" s="9"/>
      <c r="D23" s="2"/>
    </row>
    <row r="24" spans="2:4" x14ac:dyDescent="0.45">
      <c r="B24" s="1">
        <v>14</v>
      </c>
      <c r="C24" s="9"/>
      <c r="D24" s="2"/>
    </row>
    <row r="25" spans="2:4" x14ac:dyDescent="0.45">
      <c r="B25" s="1">
        <v>15</v>
      </c>
      <c r="C25" s="9"/>
      <c r="D25" s="2"/>
    </row>
    <row r="26" spans="2:4" x14ac:dyDescent="0.45">
      <c r="B26" s="1">
        <v>16</v>
      </c>
      <c r="C26" s="9"/>
      <c r="D26" s="2"/>
    </row>
    <row r="27" spans="2:4" x14ac:dyDescent="0.45">
      <c r="B27" s="1">
        <v>17</v>
      </c>
      <c r="C27" s="9"/>
      <c r="D27" s="2"/>
    </row>
    <row r="28" spans="2:4" x14ac:dyDescent="0.45">
      <c r="B28" s="1">
        <v>18</v>
      </c>
      <c r="C28" s="9"/>
      <c r="D28" s="2"/>
    </row>
    <row r="29" spans="2:4" x14ac:dyDescent="0.45">
      <c r="B29" s="1">
        <v>19</v>
      </c>
      <c r="C29" s="9"/>
      <c r="D29" s="2"/>
    </row>
    <row r="30" spans="2:4" x14ac:dyDescent="0.45">
      <c r="B30" s="1">
        <v>20</v>
      </c>
      <c r="C30" s="9"/>
      <c r="D30" s="2"/>
    </row>
    <row r="31" spans="2:4" x14ac:dyDescent="0.45">
      <c r="B31" s="1">
        <v>21</v>
      </c>
      <c r="C31" s="9"/>
      <c r="D31" s="2"/>
    </row>
    <row r="32" spans="2:4" x14ac:dyDescent="0.45">
      <c r="B32" s="1">
        <v>22</v>
      </c>
      <c r="C32" s="9"/>
      <c r="D32" s="2"/>
    </row>
    <row r="33" spans="2:4" x14ac:dyDescent="0.45">
      <c r="B33" s="1">
        <v>23</v>
      </c>
      <c r="C33" s="9"/>
      <c r="D33" s="2"/>
    </row>
    <row r="34" spans="2:4" x14ac:dyDescent="0.45">
      <c r="B34" s="1">
        <v>24</v>
      </c>
      <c r="C34" s="9"/>
      <c r="D34" s="2"/>
    </row>
    <row r="35" spans="2:4" x14ac:dyDescent="0.45">
      <c r="B35" s="1">
        <v>25</v>
      </c>
      <c r="C35" s="9"/>
      <c r="D35" s="2"/>
    </row>
    <row r="36" spans="2:4" x14ac:dyDescent="0.45">
      <c r="B36" s="1">
        <v>26</v>
      </c>
      <c r="C36" s="9"/>
      <c r="D36" s="2"/>
    </row>
    <row r="37" spans="2:4" x14ac:dyDescent="0.45">
      <c r="B37" s="1">
        <v>27</v>
      </c>
      <c r="C37" s="9"/>
      <c r="D37" s="2"/>
    </row>
    <row r="38" spans="2:4" x14ac:dyDescent="0.45">
      <c r="B38" s="1">
        <v>28</v>
      </c>
      <c r="C38" s="9"/>
      <c r="D38" s="2"/>
    </row>
    <row r="39" spans="2:4" x14ac:dyDescent="0.45">
      <c r="B39" s="1">
        <v>29</v>
      </c>
      <c r="C39" s="9"/>
      <c r="D39" s="2"/>
    </row>
    <row r="40" spans="2:4" x14ac:dyDescent="0.45">
      <c r="B40" s="1">
        <v>30</v>
      </c>
      <c r="C40" s="9"/>
      <c r="D40" s="2"/>
    </row>
    <row r="41" spans="2:4" x14ac:dyDescent="0.45">
      <c r="B41" s="1">
        <v>31</v>
      </c>
      <c r="C41" s="9"/>
      <c r="D41" s="2"/>
    </row>
    <row r="42" spans="2:4" x14ac:dyDescent="0.45">
      <c r="B42" s="1">
        <v>32</v>
      </c>
      <c r="C42" s="9"/>
      <c r="D42" s="2"/>
    </row>
    <row r="43" spans="2:4" x14ac:dyDescent="0.45">
      <c r="B43" s="1">
        <v>33</v>
      </c>
      <c r="C43" s="9"/>
      <c r="D43" s="2"/>
    </row>
    <row r="44" spans="2:4" x14ac:dyDescent="0.45">
      <c r="B44" s="1">
        <v>34</v>
      </c>
      <c r="C44" s="9"/>
      <c r="D44" s="2"/>
    </row>
    <row r="45" spans="2:4" x14ac:dyDescent="0.45">
      <c r="B45" s="1">
        <v>35</v>
      </c>
      <c r="C45" s="9"/>
      <c r="D45" s="2"/>
    </row>
    <row r="46" spans="2:4" x14ac:dyDescent="0.45">
      <c r="B46" s="1">
        <v>36</v>
      </c>
      <c r="C46" s="9"/>
      <c r="D46" s="2"/>
    </row>
    <row r="47" spans="2:4" x14ac:dyDescent="0.45">
      <c r="B47" s="1">
        <v>37</v>
      </c>
      <c r="C47" s="9"/>
      <c r="D47" s="2"/>
    </row>
    <row r="48" spans="2:4" x14ac:dyDescent="0.45">
      <c r="B48" s="1">
        <v>38</v>
      </c>
      <c r="C48" s="9"/>
      <c r="D48" s="2"/>
    </row>
    <row r="49" spans="2:4" x14ac:dyDescent="0.45">
      <c r="B49" s="1">
        <v>39</v>
      </c>
      <c r="C49" s="9"/>
      <c r="D49" s="2"/>
    </row>
    <row r="50" spans="2:4" x14ac:dyDescent="0.45">
      <c r="B50" s="1">
        <v>40</v>
      </c>
      <c r="C50" s="9"/>
      <c r="D50" s="2"/>
    </row>
    <row r="51" spans="2:4" x14ac:dyDescent="0.45">
      <c r="B51" s="1">
        <v>41</v>
      </c>
      <c r="C51" s="9"/>
      <c r="D51" s="2"/>
    </row>
    <row r="52" spans="2:4" x14ac:dyDescent="0.45">
      <c r="B52" s="1">
        <v>42</v>
      </c>
      <c r="C52" s="9"/>
      <c r="D52" s="2"/>
    </row>
    <row r="53" spans="2:4" x14ac:dyDescent="0.45">
      <c r="B53" s="1">
        <v>43</v>
      </c>
      <c r="C53" s="9"/>
      <c r="D53" s="2"/>
    </row>
    <row r="54" spans="2:4" x14ac:dyDescent="0.45">
      <c r="B54" s="1">
        <v>44</v>
      </c>
      <c r="C54" s="9"/>
      <c r="D54" s="2"/>
    </row>
    <row r="55" spans="2:4" x14ac:dyDescent="0.45">
      <c r="B55" s="1">
        <v>45</v>
      </c>
      <c r="C55" s="9"/>
      <c r="D55" s="2"/>
    </row>
    <row r="56" spans="2:4" x14ac:dyDescent="0.45">
      <c r="B56" s="1">
        <v>46</v>
      </c>
      <c r="C56" s="9"/>
      <c r="D56" s="2"/>
    </row>
    <row r="57" spans="2:4" x14ac:dyDescent="0.45">
      <c r="B57" s="1">
        <v>47</v>
      </c>
      <c r="C57" s="9"/>
      <c r="D57" s="2"/>
    </row>
    <row r="58" spans="2:4" x14ac:dyDescent="0.45">
      <c r="B58" s="1">
        <v>48</v>
      </c>
      <c r="C58" s="9"/>
      <c r="D58" s="2"/>
    </row>
    <row r="59" spans="2:4" x14ac:dyDescent="0.45">
      <c r="B59" s="1">
        <v>49</v>
      </c>
      <c r="C59" s="9"/>
      <c r="D59" s="2"/>
    </row>
    <row r="60" spans="2:4" x14ac:dyDescent="0.45">
      <c r="B60" s="1">
        <v>50</v>
      </c>
      <c r="C60" s="9"/>
      <c r="D60" s="2"/>
    </row>
    <row r="61" spans="2:4" x14ac:dyDescent="0.45">
      <c r="B61" s="1">
        <v>51</v>
      </c>
      <c r="C61" s="9"/>
      <c r="D61" s="2"/>
    </row>
    <row r="62" spans="2:4" x14ac:dyDescent="0.45">
      <c r="B62" s="1">
        <v>52</v>
      </c>
      <c r="C62" s="9"/>
      <c r="D62" s="2"/>
    </row>
    <row r="63" spans="2:4" x14ac:dyDescent="0.45">
      <c r="B63" s="1">
        <v>53</v>
      </c>
      <c r="C63" s="9"/>
      <c r="D63" s="2"/>
    </row>
    <row r="64" spans="2:4" x14ac:dyDescent="0.45">
      <c r="B64" s="1">
        <v>54</v>
      </c>
      <c r="C64" s="9"/>
      <c r="D64" s="2"/>
    </row>
    <row r="65" spans="2:4" x14ac:dyDescent="0.45">
      <c r="B65" s="1">
        <v>55</v>
      </c>
      <c r="C65" s="9"/>
      <c r="D65" s="2"/>
    </row>
    <row r="66" spans="2:4" x14ac:dyDescent="0.45">
      <c r="B66" s="1">
        <v>56</v>
      </c>
      <c r="C66" s="9"/>
      <c r="D66" s="2"/>
    </row>
    <row r="67" spans="2:4" x14ac:dyDescent="0.45">
      <c r="B67" s="1">
        <v>57</v>
      </c>
      <c r="C67" s="9"/>
      <c r="D67" s="2"/>
    </row>
    <row r="68" spans="2:4" x14ac:dyDescent="0.45">
      <c r="B68" s="1">
        <v>58</v>
      </c>
      <c r="C68" s="9"/>
      <c r="D68" s="2"/>
    </row>
    <row r="69" spans="2:4" x14ac:dyDescent="0.45">
      <c r="B69" s="1">
        <v>59</v>
      </c>
      <c r="C69" s="9"/>
      <c r="D69" s="2"/>
    </row>
    <row r="70" spans="2:4" x14ac:dyDescent="0.45">
      <c r="B70" s="1">
        <v>60</v>
      </c>
      <c r="C70" s="9"/>
      <c r="D70" s="2"/>
    </row>
    <row r="71" spans="2:4" x14ac:dyDescent="0.45">
      <c r="B71" s="1">
        <v>61</v>
      </c>
      <c r="C71" s="9"/>
      <c r="D71" s="2"/>
    </row>
    <row r="72" spans="2:4" x14ac:dyDescent="0.45">
      <c r="B72" s="1">
        <v>62</v>
      </c>
      <c r="C72" s="9"/>
      <c r="D72" s="2"/>
    </row>
    <row r="73" spans="2:4" x14ac:dyDescent="0.45">
      <c r="B73" s="1">
        <v>63</v>
      </c>
      <c r="C73" s="9"/>
      <c r="D73" s="2"/>
    </row>
    <row r="74" spans="2:4" x14ac:dyDescent="0.45">
      <c r="B74" s="1">
        <v>64</v>
      </c>
      <c r="C74" s="9"/>
      <c r="D74" s="2"/>
    </row>
    <row r="75" spans="2:4" x14ac:dyDescent="0.45">
      <c r="B75" s="1">
        <v>65</v>
      </c>
      <c r="C75" s="9"/>
      <c r="D75" s="2"/>
    </row>
    <row r="76" spans="2:4" x14ac:dyDescent="0.45">
      <c r="B76" s="1">
        <v>66</v>
      </c>
      <c r="C76" s="9"/>
      <c r="D76" s="2"/>
    </row>
    <row r="77" spans="2:4" x14ac:dyDescent="0.45">
      <c r="B77" s="1">
        <v>67</v>
      </c>
      <c r="C77" s="9"/>
      <c r="D77" s="2"/>
    </row>
    <row r="78" spans="2:4" x14ac:dyDescent="0.45">
      <c r="B78" s="1">
        <v>68</v>
      </c>
      <c r="C78" s="9"/>
      <c r="D78" s="2"/>
    </row>
    <row r="79" spans="2:4" x14ac:dyDescent="0.45">
      <c r="B79" s="1">
        <v>69</v>
      </c>
      <c r="C79" s="9"/>
      <c r="D79" s="2"/>
    </row>
    <row r="80" spans="2:4" x14ac:dyDescent="0.45">
      <c r="B80" s="1">
        <v>70</v>
      </c>
      <c r="C80" s="9"/>
      <c r="D80" s="2"/>
    </row>
    <row r="81" spans="2:4" x14ac:dyDescent="0.45">
      <c r="B81" s="1">
        <v>71</v>
      </c>
      <c r="C81" s="9"/>
      <c r="D81" s="2"/>
    </row>
    <row r="82" spans="2:4" x14ac:dyDescent="0.45">
      <c r="B82" s="1">
        <v>72</v>
      </c>
      <c r="C82" s="9"/>
      <c r="D82" s="2"/>
    </row>
    <row r="83" spans="2:4" x14ac:dyDescent="0.45">
      <c r="B83" s="1">
        <v>73</v>
      </c>
      <c r="C83" s="9"/>
      <c r="D83" s="2"/>
    </row>
    <row r="84" spans="2:4" x14ac:dyDescent="0.45">
      <c r="B84" s="1">
        <v>74</v>
      </c>
      <c r="C84" s="9"/>
      <c r="D84" s="2"/>
    </row>
    <row r="85" spans="2:4" x14ac:dyDescent="0.45">
      <c r="B85" s="1">
        <v>75</v>
      </c>
      <c r="C85" s="9"/>
      <c r="D85" s="2"/>
    </row>
    <row r="86" spans="2:4" x14ac:dyDescent="0.45">
      <c r="B86" s="1">
        <v>76</v>
      </c>
      <c r="C86" s="9"/>
      <c r="D86" s="2"/>
    </row>
    <row r="87" spans="2:4" x14ac:dyDescent="0.45">
      <c r="B87" s="1">
        <v>77</v>
      </c>
      <c r="C87" s="9"/>
      <c r="D87" s="2"/>
    </row>
    <row r="88" spans="2:4" x14ac:dyDescent="0.45">
      <c r="B88" s="1">
        <v>78</v>
      </c>
      <c r="C88" s="9"/>
      <c r="D88" s="2"/>
    </row>
    <row r="89" spans="2:4" x14ac:dyDescent="0.45">
      <c r="B89" s="1">
        <v>79</v>
      </c>
      <c r="C89" s="9"/>
      <c r="D89" s="2"/>
    </row>
    <row r="90" spans="2:4" x14ac:dyDescent="0.45">
      <c r="B90" s="1">
        <v>80</v>
      </c>
      <c r="C90" s="9"/>
      <c r="D90" s="2"/>
    </row>
    <row r="91" spans="2:4" x14ac:dyDescent="0.45">
      <c r="B91" s="1">
        <v>81</v>
      </c>
      <c r="C91" s="9"/>
      <c r="D91" s="2"/>
    </row>
    <row r="92" spans="2:4" x14ac:dyDescent="0.45">
      <c r="B92" s="1">
        <v>82</v>
      </c>
      <c r="C92" s="9"/>
      <c r="D92" s="2"/>
    </row>
    <row r="93" spans="2:4" x14ac:dyDescent="0.45">
      <c r="B93" s="1">
        <v>83</v>
      </c>
      <c r="C93" s="9"/>
      <c r="D93" s="2"/>
    </row>
    <row r="94" spans="2:4" x14ac:dyDescent="0.45">
      <c r="B94" s="1">
        <v>84</v>
      </c>
      <c r="C94" s="9"/>
      <c r="D94" s="2"/>
    </row>
    <row r="95" spans="2:4" x14ac:dyDescent="0.45">
      <c r="B95" s="1">
        <v>85</v>
      </c>
      <c r="C95" s="9"/>
      <c r="D95" s="2"/>
    </row>
    <row r="96" spans="2:4" x14ac:dyDescent="0.45">
      <c r="B96" s="1">
        <v>86</v>
      </c>
      <c r="C96" s="9"/>
      <c r="D96" s="2"/>
    </row>
    <row r="97" spans="2:4" x14ac:dyDescent="0.45">
      <c r="B97" s="1">
        <v>87</v>
      </c>
      <c r="C97" s="9"/>
      <c r="D97" s="2"/>
    </row>
    <row r="98" spans="2:4" x14ac:dyDescent="0.45">
      <c r="B98" s="1">
        <v>88</v>
      </c>
      <c r="C98" s="9"/>
      <c r="D98" s="2"/>
    </row>
    <row r="99" spans="2:4" x14ac:dyDescent="0.45">
      <c r="B99" s="1">
        <v>89</v>
      </c>
      <c r="C99" s="9"/>
      <c r="D99" s="2"/>
    </row>
    <row r="100" spans="2:4" x14ac:dyDescent="0.45">
      <c r="B100" s="1">
        <v>90</v>
      </c>
      <c r="C100" s="9"/>
      <c r="D100" s="2"/>
    </row>
    <row r="101" spans="2:4" x14ac:dyDescent="0.45">
      <c r="B101" s="1">
        <v>91</v>
      </c>
      <c r="C101" s="9"/>
      <c r="D101" s="2"/>
    </row>
    <row r="102" spans="2:4" x14ac:dyDescent="0.45">
      <c r="B102" s="1">
        <v>92</v>
      </c>
      <c r="C102" s="9"/>
      <c r="D102" s="2"/>
    </row>
    <row r="103" spans="2:4" x14ac:dyDescent="0.45">
      <c r="B103" s="1">
        <v>93</v>
      </c>
      <c r="C103" s="9"/>
      <c r="D103" s="2"/>
    </row>
    <row r="104" spans="2:4" x14ac:dyDescent="0.45">
      <c r="B104" s="1">
        <v>94</v>
      </c>
      <c r="C104" s="9"/>
      <c r="D104" s="2"/>
    </row>
    <row r="105" spans="2:4" x14ac:dyDescent="0.45">
      <c r="B105" s="1">
        <v>95</v>
      </c>
      <c r="C105" s="9"/>
      <c r="D105" s="2"/>
    </row>
    <row r="106" spans="2:4" x14ac:dyDescent="0.45">
      <c r="B106" s="1">
        <v>96</v>
      </c>
      <c r="C106" s="9"/>
      <c r="D106" s="2"/>
    </row>
    <row r="107" spans="2:4" x14ac:dyDescent="0.45">
      <c r="B107" s="1">
        <v>97</v>
      </c>
      <c r="C107" s="9"/>
      <c r="D107" s="2"/>
    </row>
    <row r="108" spans="2:4" x14ac:dyDescent="0.45">
      <c r="B108" s="1">
        <v>98</v>
      </c>
      <c r="C108" s="9"/>
      <c r="D108" s="2"/>
    </row>
    <row r="109" spans="2:4" x14ac:dyDescent="0.45">
      <c r="B109" s="1">
        <v>99</v>
      </c>
      <c r="C109" s="9"/>
      <c r="D109" s="2"/>
    </row>
    <row r="110" spans="2:4" ht="18.600000000000001" thickBot="1" x14ac:dyDescent="0.5">
      <c r="B110" s="3">
        <v>100</v>
      </c>
      <c r="C110" s="10"/>
      <c r="D110" s="4"/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138E9-DC4E-40F0-A2FD-7C2558E69198}">
  <dimension ref="B8:K114"/>
  <sheetViews>
    <sheetView workbookViewId="0">
      <selection activeCell="B9" sqref="B9"/>
    </sheetView>
  </sheetViews>
  <sheetFormatPr defaultRowHeight="18" x14ac:dyDescent="0.45"/>
  <sheetData>
    <row r="8" spans="2:11" ht="18.600000000000001" thickBot="1" x14ac:dyDescent="0.5"/>
    <row r="9" spans="2:11" ht="18.600000000000001" thickBot="1" x14ac:dyDescent="0.5">
      <c r="B9" s="6" t="s">
        <v>0</v>
      </c>
      <c r="C9" s="8" t="s">
        <v>10</v>
      </c>
      <c r="D9" s="8" t="s">
        <v>11</v>
      </c>
      <c r="F9" s="19" t="s">
        <v>18</v>
      </c>
      <c r="G9" s="11" t="s">
        <v>19</v>
      </c>
      <c r="H9" s="23" t="s">
        <v>20</v>
      </c>
      <c r="I9" s="11" t="s">
        <v>21</v>
      </c>
      <c r="J9" s="23" t="s">
        <v>22</v>
      </c>
      <c r="K9" s="11" t="s">
        <v>23</v>
      </c>
    </row>
    <row r="10" spans="2:11" ht="18.600000000000001" thickBot="1" x14ac:dyDescent="0.5">
      <c r="B10" s="1">
        <v>0</v>
      </c>
      <c r="C10" s="9">
        <f>($F$10-$G$10)*COS(2*PI()*$J$10*$I$10*B10/100)+($G$10/$H$10)*COS((($F$10-$G$10)/$G$10)*2*PI()*$I$10*B10/100)</f>
        <v>3</v>
      </c>
      <c r="D10" s="9">
        <f>($F$10-$G$10)*SIN(2*PI()*$K$10*$I$10*B10/100)-($G$10/$H$10)*SIN((($F$10-$G$10)/$G$10)*2*PI()*$I$10*B10/100)</f>
        <v>0</v>
      </c>
      <c r="F10" s="3">
        <v>3</v>
      </c>
      <c r="G10" s="10">
        <v>1</v>
      </c>
      <c r="H10" s="14">
        <v>1</v>
      </c>
      <c r="I10" s="10">
        <v>13</v>
      </c>
      <c r="J10" s="14">
        <v>2</v>
      </c>
      <c r="K10" s="10">
        <v>3</v>
      </c>
    </row>
    <row r="11" spans="2:11" x14ac:dyDescent="0.45">
      <c r="B11" s="1">
        <v>1</v>
      </c>
      <c r="C11" s="9">
        <f>($F$10-$G$10)*COS(2*PI()*$J$10*$I$10*B11/100)+($G$10/$H$10)*COS((($F$10-$G$10)/$G$10)*2*PI()*$I$10*B11/100)</f>
        <v>-0.18837155858794019</v>
      </c>
      <c r="D11" s="9">
        <f>($F$10-$G$10)*SIN(2*PI()*$K$10*$I$10*B11/100)-($G$10/$H$10)*SIN((($F$10-$G$10)/$G$10)*2*PI()*$I$10*B11/100)</f>
        <v>0.27682125106910815</v>
      </c>
    </row>
    <row r="12" spans="2:11" x14ac:dyDescent="0.45">
      <c r="B12" s="1">
        <v>2</v>
      </c>
      <c r="C12" s="9">
        <f>($F$10-$G$10)*COS(2*PI()*$J$10*$I$10*B12/100)+($G$10/$H$10)*COS((($F$10-$G$10)/$G$10)*2*PI()*$I$10*B12/100)</f>
        <v>-2.9763441039434335</v>
      </c>
      <c r="D12" s="9">
        <f>($F$10-$G$10)*SIN(2*PI()*$K$10*$I$10*B12/100)-($G$10/$H$10)*SIN((($F$10-$G$10)/$G$10)*2*PI()*$I$10*B12/100)</f>
        <v>-1.8392412678930732</v>
      </c>
    </row>
    <row r="13" spans="2:11" x14ac:dyDescent="0.45">
      <c r="B13" s="1">
        <v>3</v>
      </c>
      <c r="C13" s="9">
        <f>($F$10-$G$10)*COS(2*PI()*$J$10*$I$10*B13/100)+($G$10/$H$10)*COS((($F$10-$G$10)/$G$10)*2*PI()*$I$10*B13/100)</f>
        <v>0.56214394375717536</v>
      </c>
      <c r="D13" s="9">
        <f>($F$10-$G$10)*SIN(2*PI()*$K$10*$I$10*B13/100)-($G$10/$H$10)*SIN((($F$10-$G$10)/$G$10)*2*PI()*$I$10*B13/100)</f>
        <v>2.7349006108164158</v>
      </c>
    </row>
    <row r="14" spans="2:11" x14ac:dyDescent="0.45">
      <c r="B14" s="1">
        <v>4</v>
      </c>
      <c r="C14" s="9">
        <f>($F$10-$G$10)*COS(2*PI()*$J$10*$I$10*B14/100)+($G$10/$H$10)*COS((($F$10-$G$10)/$G$10)*2*PI()*$I$10*B14/100)</f>
        <v>2.9057494833858932</v>
      </c>
      <c r="D14" s="9">
        <f>($F$10-$G$10)*SIN(2*PI()*$K$10*$I$10*B14/100)-($G$10/$H$10)*SIN((($F$10-$G$10)/$G$10)*2*PI()*$I$10*B14/100)</f>
        <v>-0.98493899253420936</v>
      </c>
    </row>
    <row r="15" spans="2:11" x14ac:dyDescent="0.45">
      <c r="B15" s="1">
        <v>5</v>
      </c>
      <c r="C15" s="9">
        <f>($F$10-$G$10)*COS(2*PI()*$J$10*$I$10*B15/100)+($G$10/$H$10)*COS((($F$10-$G$10)/$G$10)*2*PI()*$I$10*B15/100)</f>
        <v>-0.92705098312484135</v>
      </c>
      <c r="D15" s="9">
        <f>($F$10-$G$10)*SIN(2*PI()*$K$10*$I$10*B15/100)-($G$10/$H$10)*SIN((($F$10-$G$10)/$G$10)*2*PI()*$I$10*B15/100)</f>
        <v>-1.5690905050450494</v>
      </c>
    </row>
    <row r="16" spans="2:11" x14ac:dyDescent="0.45">
      <c r="B16" s="1">
        <v>6</v>
      </c>
      <c r="C16" s="9">
        <f>($F$10-$G$10)*COS(2*PI()*$J$10*$I$10*B16/100)+($G$10/$H$10)*COS((($F$10-$G$10)/$G$10)*2*PI()*$I$10*B16/100)</f>
        <v>-2.7893294576647532</v>
      </c>
      <c r="D16" s="9">
        <f>($F$10-$G$10)*SIN(2*PI()*$K$10*$I$10*B16/100)-($G$10/$H$10)*SIN((($F$10-$G$10)/$G$10)*2*PI()*$I$10*B16/100)</f>
        <v>2.0567804036887094</v>
      </c>
    </row>
    <row r="17" spans="2:4" x14ac:dyDescent="0.45">
      <c r="B17" s="1">
        <v>7</v>
      </c>
      <c r="C17" s="9">
        <f>($F$10-$G$10)*COS(2*PI()*$J$10*$I$10*B17/100)+($G$10/$H$10)*COS((($F$10-$G$10)/$G$10)*2*PI()*$I$10*B17/100)</f>
        <v>1.2773378746952244</v>
      </c>
      <c r="D17" s="9">
        <f>($F$10-$G$10)*SIN(2*PI()*$K$10*$I$10*B17/100)-($G$10/$H$10)*SIN((($F$10-$G$10)/$G$10)*2*PI()*$I$10*B17/100)</f>
        <v>-1.0794023501629368</v>
      </c>
    </row>
    <row r="18" spans="2:4" x14ac:dyDescent="0.45">
      <c r="B18" s="1">
        <v>8</v>
      </c>
      <c r="C18" s="9">
        <f>($F$10-$G$10)*COS(2*PI()*$J$10*$I$10*B18/100)+($G$10/$H$10)*COS((($F$10-$G$10)/$G$10)*2*PI()*$I$10*B18/100)</f>
        <v>2.6289200401315904</v>
      </c>
      <c r="D18" s="9">
        <f>($F$10-$G$10)*SIN(2*PI()*$K$10*$I$10*B18/100)-($G$10/$H$10)*SIN((($F$10-$G$10)/$G$10)*2*PI()*$I$10*B18/100)</f>
        <v>0.8873405377556598</v>
      </c>
    </row>
    <row r="19" spans="2:4" x14ac:dyDescent="0.45">
      <c r="B19" s="1">
        <v>9</v>
      </c>
      <c r="C19" s="9">
        <f>($F$10-$G$10)*COS(2*PI()*$J$10*$I$10*B19/100)+($G$10/$H$10)*COS((($F$10-$G$10)/$G$10)*2*PI()*$I$10*B19/100)</f>
        <v>-1.6074803849369892</v>
      </c>
      <c r="D19" s="9">
        <f>($F$10-$G$10)*SIN(2*PI()*$K$10*$I$10*B19/100)-($G$10/$H$10)*SIN((($F$10-$G$10)/$G$10)*2*PI()*$I$10*B19/100)</f>
        <v>-0.96990896456063957</v>
      </c>
    </row>
    <row r="20" spans="2:4" x14ac:dyDescent="0.45">
      <c r="B20" s="1">
        <v>10</v>
      </c>
      <c r="C20" s="9">
        <f>($F$10-$G$10)*COS(2*PI()*$J$10*$I$10*B20/100)+($G$10/$H$10)*COS((($F$10-$G$10)/$G$10)*2*PI()*$I$10*B20/100)</f>
        <v>-2.4270509831248432</v>
      </c>
      <c r="D20" s="9">
        <f>($F$10-$G$10)*SIN(2*PI()*$K$10*$I$10*B20/100)-($G$10/$H$10)*SIN((($F$10-$G$10)/$G$10)*2*PI()*$I$10*B20/100)</f>
        <v>-0.58778525229247525</v>
      </c>
    </row>
    <row r="21" spans="2:4" x14ac:dyDescent="0.45">
      <c r="B21" s="1">
        <v>11</v>
      </c>
      <c r="C21" s="9">
        <f>($F$10-$G$10)*COS(2*PI()*$J$10*$I$10*B21/100)+($G$10/$H$10)*COS((($F$10-$G$10)/$G$10)*2*PI()*$I$10*B21/100)</f>
        <v>1.912271969246071</v>
      </c>
      <c r="D21" s="9">
        <f>($F$10-$G$10)*SIN(2*PI()*$K$10*$I$10*B21/100)-($G$10/$H$10)*SIN((($F$10-$G$10)/$G$10)*2*PI()*$I$10*B21/100)</f>
        <v>2.707679565033053</v>
      </c>
    </row>
    <row r="22" spans="2:4" x14ac:dyDescent="0.45">
      <c r="B22" s="1">
        <v>12</v>
      </c>
      <c r="C22" s="9">
        <f>($F$10-$G$10)*COS(2*PI()*$J$10*$I$10*B22/100)+($G$10/$H$10)*COS((($F$10-$G$10)/$G$10)*2*PI()*$I$10*B22/100)</f>
        <v>2.1869058822642304</v>
      </c>
      <c r="D22" s="9">
        <f>($F$10-$G$10)*SIN(2*PI()*$K$10*$I$10*B22/100)-($G$10/$H$10)*SIN((($F$10-$G$10)/$G$10)*2*PI()*$I$10*B22/100)</f>
        <v>-2.4942012108607288</v>
      </c>
    </row>
    <row r="23" spans="2:4" x14ac:dyDescent="0.45">
      <c r="B23" s="1">
        <v>13</v>
      </c>
      <c r="C23" s="9">
        <f>($F$10-$G$10)*COS(2*PI()*$J$10*$I$10*B23/100)+($G$10/$H$10)*COS((($F$10-$G$10)/$G$10)*2*PI()*$I$10*B23/100)</f>
        <v>-2.1869058822642344</v>
      </c>
      <c r="D23" s="9">
        <f>($F$10-$G$10)*SIN(2*PI()*$K$10*$I$10*B23/100)-($G$10/$H$10)*SIN((($F$10-$G$10)/$G$10)*2*PI()*$I$10*B23/100)</f>
        <v>0.16701147720144982</v>
      </c>
    </row>
    <row r="24" spans="2:4" x14ac:dyDescent="0.45">
      <c r="B24" s="1">
        <v>14</v>
      </c>
      <c r="C24" s="9">
        <f>($F$10-$G$10)*COS(2*PI()*$J$10*$I$10*B24/100)+($G$10/$H$10)*COS((($F$10-$G$10)/$G$10)*2*PI()*$I$10*B24/100)</f>
        <v>-1.9122719692460579</v>
      </c>
      <c r="D24" s="9">
        <f>($F$10-$G$10)*SIN(2*PI()*$K$10*$I$10*B24/100)-($G$10/$H$10)*SIN((($F$10-$G$10)/$G$10)*2*PI()*$I$10*B24/100)</f>
        <v>1.2678930171055085</v>
      </c>
    </row>
    <row r="25" spans="2:4" x14ac:dyDescent="0.45">
      <c r="B25" s="1">
        <v>15</v>
      </c>
      <c r="C25" s="9">
        <f>($F$10-$G$10)*COS(2*PI()*$J$10*$I$10*B25/100)+($G$10/$H$10)*COS((($F$10-$G$10)/$G$10)*2*PI()*$I$10*B25/100)</f>
        <v>2.4270509831248468</v>
      </c>
      <c r="D25" s="9">
        <f>($F$10-$G$10)*SIN(2*PI()*$K$10*$I$10*B25/100)-($G$10/$H$10)*SIN((($F$10-$G$10)/$G$10)*2*PI()*$I$10*B25/100)</f>
        <v>-1.0302487364574233</v>
      </c>
    </row>
    <row r="26" spans="2:4" x14ac:dyDescent="0.45">
      <c r="B26" s="1">
        <v>16</v>
      </c>
      <c r="C26" s="9">
        <f>($F$10-$G$10)*COS(2*PI()*$J$10*$I$10*B26/100)+($G$10/$H$10)*COS((($F$10-$G$10)/$G$10)*2*PI()*$I$10*B26/100)</f>
        <v>1.607480384936989</v>
      </c>
      <c r="D26" s="9">
        <f>($F$10-$G$10)*SIN(2*PI()*$K$10*$I$10*B26/100)-($G$10/$H$10)*SIN((($F$10-$G$10)/$G$10)*2*PI()*$I$10*B26/100)</f>
        <v>1.1517255313545274</v>
      </c>
    </row>
    <row r="27" spans="2:4" x14ac:dyDescent="0.45">
      <c r="B27" s="1">
        <v>17</v>
      </c>
      <c r="C27" s="9">
        <f>($F$10-$G$10)*COS(2*PI()*$J$10*$I$10*B27/100)+($G$10/$H$10)*COS((($F$10-$G$10)/$G$10)*2*PI()*$I$10*B27/100)</f>
        <v>-2.6289200401315935</v>
      </c>
      <c r="D27" s="9">
        <f>($F$10-$G$10)*SIN(2*PI()*$K$10*$I$10*B27/100)-($G$10/$H$10)*SIN((($F$10-$G$10)/$G$10)*2*PI()*$I$10*B27/100)</f>
        <v>-1.9396909289445281</v>
      </c>
    </row>
    <row r="28" spans="2:4" x14ac:dyDescent="0.45">
      <c r="B28" s="1">
        <v>18</v>
      </c>
      <c r="C28" s="9">
        <f>($F$10-$G$10)*COS(2*PI()*$J$10*$I$10*B28/100)+($G$10/$H$10)*COS((($F$10-$G$10)/$G$10)*2*PI()*$I$10*B28/100)</f>
        <v>-1.2773378746952191</v>
      </c>
      <c r="D28" s="9">
        <f>($F$10-$G$10)*SIN(2*PI()*$K$10*$I$10*B28/100)-($G$10/$H$10)*SIN((($F$10-$G$10)/$G$10)*2*PI()*$I$10*B28/100)</f>
        <v>1.155493519594623</v>
      </c>
    </row>
    <row r="29" spans="2:4" x14ac:dyDescent="0.45">
      <c r="B29" s="1">
        <v>19</v>
      </c>
      <c r="C29" s="9">
        <f>($F$10-$G$10)*COS(2*PI()*$J$10*$I$10*B29/100)+($G$10/$H$10)*COS((($F$10-$G$10)/$G$10)*2*PI()*$I$10*B29/100)</f>
        <v>2.7893294576647554</v>
      </c>
      <c r="D29" s="9">
        <f>($F$10-$G$10)*SIN(2*PI()*$K$10*$I$10*B29/100)-($G$10/$H$10)*SIN((($F$10-$G$10)/$G$10)*2*PI()*$I$10*B29/100)</f>
        <v>1.4397781426426799</v>
      </c>
    </row>
    <row r="30" spans="2:4" x14ac:dyDescent="0.45">
      <c r="B30" s="1">
        <v>20</v>
      </c>
      <c r="C30" s="9">
        <f>($F$10-$G$10)*COS(2*PI()*$J$10*$I$10*B30/100)+($G$10/$H$10)*COS((($F$10-$G$10)/$G$10)*2*PI()*$I$10*B30/100)</f>
        <v>0.92705098312484591</v>
      </c>
      <c r="D30" s="9">
        <f>($F$10-$G$10)*SIN(2*PI()*$K$10*$I$10*B30/100)-($G$10/$H$10)*SIN((($F$10-$G$10)/$G$10)*2*PI()*$I$10*B30/100)</f>
        <v>-2.8531695488854618</v>
      </c>
    </row>
    <row r="31" spans="2:4" x14ac:dyDescent="0.45">
      <c r="B31" s="1">
        <v>21</v>
      </c>
      <c r="C31" s="9">
        <f>($F$10-$G$10)*COS(2*PI()*$J$10*$I$10*B31/100)+($G$10/$H$10)*COS((($F$10-$G$10)/$G$10)*2*PI()*$I$10*B31/100)</f>
        <v>-2.9057494833858963</v>
      </c>
      <c r="D31" s="9">
        <f>($F$10-$G$10)*SIN(2*PI()*$K$10*$I$10*B31/100)-($G$10/$H$10)*SIN((($F$10-$G$10)/$G$10)*2*PI()*$I$10*B31/100)</f>
        <v>1.610863084611653</v>
      </c>
    </row>
    <row r="32" spans="2:4" x14ac:dyDescent="0.45">
      <c r="B32" s="1">
        <v>22</v>
      </c>
      <c r="C32" s="9">
        <f>($F$10-$G$10)*COS(2*PI()*$J$10*$I$10*B32/100)+($G$10/$H$10)*COS((($F$10-$G$10)/$G$10)*2*PI()*$I$10*B32/100)</f>
        <v>-0.56214394375716958</v>
      </c>
      <c r="D32" s="9">
        <f>($F$10-$G$10)*SIN(2*PI()*$K$10*$I$10*B32/100)-($G$10/$H$10)*SIN((($F$10-$G$10)/$G$10)*2*PI()*$I$10*B32/100)</f>
        <v>1.8779902525273284E-2</v>
      </c>
    </row>
    <row r="33" spans="2:4" x14ac:dyDescent="0.45">
      <c r="B33" s="1">
        <v>23</v>
      </c>
      <c r="C33" s="9">
        <f>($F$10-$G$10)*COS(2*PI()*$J$10*$I$10*B33/100)+($G$10/$H$10)*COS((($F$10-$G$10)/$G$10)*2*PI()*$I$10*B33/100)</f>
        <v>2.9763441039434362</v>
      </c>
      <c r="D33" s="9">
        <f>($F$10-$G$10)*SIN(2*PI()*$K$10*$I$10*B33/100)-($G$10/$H$10)*SIN((($F$10-$G$10)/$G$10)*2*PI()*$I$10*B33/100)</f>
        <v>-0.24942939560716051</v>
      </c>
    </row>
    <row r="34" spans="2:4" x14ac:dyDescent="0.45">
      <c r="B34" s="1">
        <v>24</v>
      </c>
      <c r="C34" s="9">
        <f>($F$10-$G$10)*COS(2*PI()*$J$10*$I$10*B34/100)+($G$10/$H$10)*COS((($F$10-$G$10)/$G$10)*2*PI()*$I$10*B34/100)</f>
        <v>0.18837155858792767</v>
      </c>
      <c r="D34" s="9">
        <f>($F$10-$G$10)*SIN(2*PI()*$K$10*$I$10*B34/100)-($G$10/$H$10)*SIN((($F$10-$G$10)/$G$10)*2*PI()*$I$10*B34/100)</f>
        <v>0.54299975712330784</v>
      </c>
    </row>
    <row r="35" spans="2:4" x14ac:dyDescent="0.45">
      <c r="B35" s="1">
        <v>25</v>
      </c>
      <c r="C35" s="9">
        <f>($F$10-$G$10)*COS(2*PI()*$J$10*$I$10*B35/100)+($G$10/$H$10)*COS((($F$10-$G$10)/$G$10)*2*PI()*$I$10*B35/100)</f>
        <v>-3</v>
      </c>
      <c r="D35" s="9">
        <f>($F$10-$G$10)*SIN(2*PI()*$K$10*$I$10*B35/100)-($G$10/$H$10)*SIN((($F$10-$G$10)/$G$10)*2*PI()*$I$10*B35/100)</f>
        <v>-1.999999999999998</v>
      </c>
    </row>
    <row r="36" spans="2:4" x14ac:dyDescent="0.45">
      <c r="B36" s="1">
        <v>26</v>
      </c>
      <c r="C36" s="9">
        <f>($F$10-$G$10)*COS(2*PI()*$J$10*$I$10*B36/100)+($G$10/$H$10)*COS((($F$10-$G$10)/$G$10)*2*PI()*$I$10*B36/100)</f>
        <v>0.18837155858793941</v>
      </c>
      <c r="D36" s="9">
        <f>($F$10-$G$10)*SIN(2*PI()*$K$10*$I$10*B36/100)-($G$10/$H$10)*SIN((($F$10-$G$10)/$G$10)*2*PI()*$I$10*B36/100)</f>
        <v>2.5390532139798405</v>
      </c>
    </row>
    <row r="37" spans="2:4" x14ac:dyDescent="0.45">
      <c r="B37" s="1">
        <v>27</v>
      </c>
      <c r="C37" s="9">
        <f>($F$10-$G$10)*COS(2*PI()*$J$10*$I$10*B37/100)+($G$10/$H$10)*COS((($F$10-$G$10)/$G$10)*2*PI()*$I$10*B37/100)</f>
        <v>2.9763441039434344</v>
      </c>
      <c r="D37" s="9">
        <f>($F$10-$G$10)*SIN(2*PI()*$K$10*$I$10*B37/100)-($G$10/$H$10)*SIN((($F$10-$G$10)/$G$10)*2*PI()*$I$10*B37/100)</f>
        <v>-0.50009586273574391</v>
      </c>
    </row>
    <row r="38" spans="2:4" x14ac:dyDescent="0.45">
      <c r="B38" s="1">
        <v>28</v>
      </c>
      <c r="C38" s="9">
        <f>($F$10-$G$10)*COS(2*PI()*$J$10*$I$10*B38/100)+($G$10/$H$10)*COS((($F$10-$G$10)/$G$10)*2*PI()*$I$10*B38/100)</f>
        <v>-0.56214394375720211</v>
      </c>
      <c r="D38" s="9">
        <f>($F$10-$G$10)*SIN(2*PI()*$K$10*$I$10*B38/100)-($G$10/$H$10)*SIN((($F$10-$G$10)/$G$10)*2*PI()*$I$10*B38/100)</f>
        <v>-1.9457945989321295</v>
      </c>
    </row>
    <row r="39" spans="2:4" x14ac:dyDescent="0.45">
      <c r="B39" s="1">
        <v>29</v>
      </c>
      <c r="C39" s="9">
        <f>($F$10-$G$10)*COS(2*PI()*$J$10*$I$10*B39/100)+($G$10/$H$10)*COS((($F$10-$G$10)/$G$10)*2*PI()*$I$10*B39/100)</f>
        <v>-2.9057494833858879</v>
      </c>
      <c r="D39" s="9">
        <f>($F$10-$G$10)*SIN(2*PI()*$K$10*$I$10*B39/100)-($G$10/$H$10)*SIN((($F$10-$G$10)/$G$10)*2*PI()*$I$10*B39/100)</f>
        <v>2.108242858941372</v>
      </c>
    </row>
    <row r="40" spans="2:4" x14ac:dyDescent="0.45">
      <c r="B40" s="1">
        <v>30</v>
      </c>
      <c r="C40" s="9">
        <f>($F$10-$G$10)*COS(2*PI()*$J$10*$I$10*B40/100)+($G$10/$H$10)*COS((($F$10-$G$10)/$G$10)*2*PI()*$I$10*B40/100)</f>
        <v>0.92705098312485723</v>
      </c>
      <c r="D40" s="9">
        <f>($F$10-$G$10)*SIN(2*PI()*$K$10*$I$10*B40/100)-($G$10/$H$10)*SIN((($F$10-$G$10)/$G$10)*2*PI()*$I$10*B40/100)</f>
        <v>-0.95105651629515553</v>
      </c>
    </row>
    <row r="41" spans="2:4" x14ac:dyDescent="0.45">
      <c r="B41" s="1">
        <v>31</v>
      </c>
      <c r="C41" s="9">
        <f>($F$10-$G$10)*COS(2*PI()*$J$10*$I$10*B41/100)+($G$10/$H$10)*COS((($F$10-$G$10)/$G$10)*2*PI()*$I$10*B41/100)</f>
        <v>2.7893294576647509</v>
      </c>
      <c r="D41" s="9">
        <f>($F$10-$G$10)*SIN(2*PI()*$K$10*$I$10*B41/100)-($G$10/$H$10)*SIN((($F$10-$G$10)/$G$10)*2*PI()*$I$10*B41/100)</f>
        <v>0.70352903727330807</v>
      </c>
    </row>
    <row r="42" spans="2:4" x14ac:dyDescent="0.45">
      <c r="B42" s="1">
        <v>32</v>
      </c>
      <c r="C42" s="9">
        <f>($F$10-$G$10)*COS(2*PI()*$J$10*$I$10*B42/100)+($G$10/$H$10)*COS((($F$10-$G$10)/$G$10)*2*PI()*$I$10*B42/100)</f>
        <v>-1.2773378746952202</v>
      </c>
      <c r="D42" s="9">
        <f>($F$10-$G$10)*SIN(2*PI()*$K$10*$I$10*B42/100)-($G$10/$H$10)*SIN((($F$10-$G$10)/$G$10)*2*PI()*$I$10*B42/100)</f>
        <v>-0.65416058533739896</v>
      </c>
    </row>
    <row r="43" spans="2:4" x14ac:dyDescent="0.45">
      <c r="B43" s="1">
        <v>33</v>
      </c>
      <c r="C43" s="9">
        <f>($F$10-$G$10)*COS(2*PI()*$J$10*$I$10*B43/100)+($G$10/$H$10)*COS((($F$10-$G$10)/$G$10)*2*PI()*$I$10*B43/100)</f>
        <v>-2.6289200401315926</v>
      </c>
      <c r="D43" s="9">
        <f>($F$10-$G$10)*SIN(2*PI()*$K$10*$I$10*B43/100)-($G$10/$H$10)*SIN((($F$10-$G$10)/$G$10)*2*PI()*$I$10*B43/100)</f>
        <v>-0.97618358074112144</v>
      </c>
    </row>
    <row r="44" spans="2:4" x14ac:dyDescent="0.45">
      <c r="B44" s="1">
        <v>34</v>
      </c>
      <c r="C44" s="9">
        <f>($F$10-$G$10)*COS(2*PI()*$J$10*$I$10*B44/100)+($G$10/$H$10)*COS((($F$10-$G$10)/$G$10)*2*PI()*$I$10*B44/100)</f>
        <v>1.6074803849369985</v>
      </c>
      <c r="D44" s="9">
        <f>($F$10-$G$10)*SIN(2*PI()*$K$10*$I$10*B44/100)-($G$10/$H$10)*SIN((($F$10-$G$10)/$G$10)*2*PI()*$I$10*B44/100)</f>
        <v>2.840381382358558</v>
      </c>
    </row>
    <row r="45" spans="2:4" x14ac:dyDescent="0.45">
      <c r="B45" s="1">
        <v>35</v>
      </c>
      <c r="C45" s="9">
        <f>($F$10-$G$10)*COS(2*PI()*$J$10*$I$10*B45/100)+($G$10/$H$10)*COS((($F$10-$G$10)/$G$10)*2*PI()*$I$10*B45/100)</f>
        <v>2.4270509831248401</v>
      </c>
      <c r="D45" s="9">
        <f>($F$10-$G$10)*SIN(2*PI()*$K$10*$I$10*B45/100)-($G$10/$H$10)*SIN((($F$10-$G$10)/$G$10)*2*PI()*$I$10*B45/100)</f>
        <v>-2.2058192410423674</v>
      </c>
    </row>
    <row r="46" spans="2:4" x14ac:dyDescent="0.45">
      <c r="B46" s="1">
        <v>36</v>
      </c>
      <c r="C46" s="9">
        <f>($F$10-$G$10)*COS(2*PI()*$J$10*$I$10*B46/100)+($G$10/$H$10)*COS((($F$10-$G$10)/$G$10)*2*PI()*$I$10*B46/100)</f>
        <v>-1.9122719692460672</v>
      </c>
      <c r="D46" s="9">
        <f>($F$10-$G$10)*SIN(2*PI()*$K$10*$I$10*B46/100)-($G$10/$H$10)*SIN((($F$10-$G$10)/$G$10)*2*PI()*$I$10*B46/100)</f>
        <v>-0.27313346844608966</v>
      </c>
    </row>
    <row r="47" spans="2:4" x14ac:dyDescent="0.45">
      <c r="B47" s="1">
        <v>37</v>
      </c>
      <c r="C47" s="9">
        <f>($F$10-$G$10)*COS(2*PI()*$J$10*$I$10*B47/100)+($G$10/$H$10)*COS((($F$10-$G$10)/$G$10)*2*PI()*$I$10*B47/100)</f>
        <v>-2.1869058822642264</v>
      </c>
      <c r="D47" s="9">
        <f>($F$10-$G$10)*SIN(2*PI()*$K$10*$I$10*B47/100)-($G$10/$H$10)*SIN((($F$10-$G$10)/$G$10)*2*PI()*$I$10*B47/100)</f>
        <v>1.5361056890588261</v>
      </c>
    </row>
    <row r="48" spans="2:4" x14ac:dyDescent="0.45">
      <c r="B48" s="1">
        <v>38</v>
      </c>
      <c r="C48" s="9">
        <f>($F$10-$G$10)*COS(2*PI()*$J$10*$I$10*B48/100)+($G$10/$H$10)*COS((($F$10-$G$10)/$G$10)*2*PI()*$I$10*B48/100)</f>
        <v>2.1869058822642384</v>
      </c>
      <c r="D48" s="9">
        <f>($F$10-$G$10)*SIN(2*PI()*$K$10*$I$10*B48/100)-($G$10/$H$10)*SIN((($F$10-$G$10)/$G$10)*2*PI()*$I$10*B48/100)</f>
        <v>-1.1251069990033615</v>
      </c>
    </row>
    <row r="49" spans="2:4" x14ac:dyDescent="0.45">
      <c r="B49" s="1">
        <v>39</v>
      </c>
      <c r="C49" s="9">
        <f>($F$10-$G$10)*COS(2*PI()*$J$10*$I$10*B49/100)+($G$10/$H$10)*COS((($F$10-$G$10)/$G$10)*2*PI()*$I$10*B49/100)</f>
        <v>1.9122719692460537</v>
      </c>
      <c r="D49" s="9">
        <f>($F$10-$G$10)*SIN(2*PI()*$K$10*$I$10*B49/100)-($G$10/$H$10)*SIN((($F$10-$G$10)/$G$10)*2*PI()*$I$10*B49/100)</f>
        <v>1.1666530794814611</v>
      </c>
    </row>
    <row r="50" spans="2:4" x14ac:dyDescent="0.45">
      <c r="B50" s="1">
        <v>40</v>
      </c>
      <c r="C50" s="9">
        <f>($F$10-$G$10)*COS(2*PI()*$J$10*$I$10*B50/100)+($G$10/$H$10)*COS((($F$10-$G$10)/$G$10)*2*PI()*$I$10*B50/100)</f>
        <v>-2.4270509831248379</v>
      </c>
      <c r="D50" s="9">
        <f>($F$10-$G$10)*SIN(2*PI()*$K$10*$I$10*B50/100)-($G$10/$H$10)*SIN((($F$10-$G$10)/$G$10)*2*PI()*$I$10*B50/100)</f>
        <v>-1.7633557568774152</v>
      </c>
    </row>
    <row r="51" spans="2:4" x14ac:dyDescent="0.45">
      <c r="B51" s="1">
        <v>41</v>
      </c>
      <c r="C51" s="9">
        <f>($F$10-$G$10)*COS(2*PI()*$J$10*$I$10*B51/100)+($G$10/$H$10)*COS((($F$10-$G$10)/$G$10)*2*PI()*$I$10*B51/100)</f>
        <v>-1.6074803849370021</v>
      </c>
      <c r="D51" s="9">
        <f>($F$10-$G$10)*SIN(2*PI()*$K$10*$I$10*B51/100)-($G$10/$H$10)*SIN((($F$10-$G$10)/$G$10)*2*PI()*$I$10*B51/100)</f>
        <v>0.71874688644337159</v>
      </c>
    </row>
    <row r="52" spans="2:4" x14ac:dyDescent="0.45">
      <c r="B52" s="1">
        <v>42</v>
      </c>
      <c r="C52" s="9">
        <f>($F$10-$G$10)*COS(2*PI()*$J$10*$I$10*B52/100)+($G$10/$H$10)*COS((($F$10-$G$10)/$G$10)*2*PI()*$I$10*B52/100)</f>
        <v>2.6289200401316015</v>
      </c>
      <c r="D52" s="9">
        <f>($F$10-$G$10)*SIN(2*PI()*$K$10*$I$10*B52/100)-($G$10/$H$10)*SIN((($F$10-$G$10)/$G$10)*2*PI()*$I$10*B52/100)</f>
        <v>1.8508478859590807</v>
      </c>
    </row>
    <row r="53" spans="2:4" x14ac:dyDescent="0.45">
      <c r="B53" s="1">
        <v>43</v>
      </c>
      <c r="C53" s="9">
        <f>($F$10-$G$10)*COS(2*PI()*$J$10*$I$10*B53/100)+($G$10/$H$10)*COS((($F$10-$G$10)/$G$10)*2*PI()*$I$10*B53/100)</f>
        <v>1.2773378746952042</v>
      </c>
      <c r="D53" s="9">
        <f>($F$10-$G$10)*SIN(2*PI()*$K$10*$I$10*B53/100)-($G$10/$H$10)*SIN((($F$10-$G$10)/$G$10)*2*PI()*$I$10*B53/100)</f>
        <v>-2.8890564550949773</v>
      </c>
    </row>
    <row r="54" spans="2:4" x14ac:dyDescent="0.45">
      <c r="B54" s="1">
        <v>44</v>
      </c>
      <c r="C54" s="9">
        <f>($F$10-$G$10)*COS(2*PI()*$J$10*$I$10*B54/100)+($G$10/$H$10)*COS((($F$10-$G$10)/$G$10)*2*PI()*$I$10*B54/100)</f>
        <v>-2.7893294576647572</v>
      </c>
      <c r="D54" s="9">
        <f>($F$10-$G$10)*SIN(2*PI()*$K$10*$I$10*B54/100)-($G$10/$H$10)*SIN((($F$10-$G$10)/$G$10)*2*PI()*$I$10*B54/100)</f>
        <v>1.3205312983193367</v>
      </c>
    </row>
    <row r="55" spans="2:4" x14ac:dyDescent="0.45">
      <c r="B55" s="1">
        <v>45</v>
      </c>
      <c r="C55" s="9">
        <f>($F$10-$G$10)*COS(2*PI()*$J$10*$I$10*B55/100)+($G$10/$H$10)*COS((($F$10-$G$10)/$G$10)*2*PI()*$I$10*B55/100)</f>
        <v>-0.92705098312484036</v>
      </c>
      <c r="D55" s="9">
        <f>($F$10-$G$10)*SIN(2*PI()*$K$10*$I$10*B55/100)-($G$10/$H$10)*SIN((($F$10-$G$10)/$G$10)*2*PI()*$I$10*B55/100)</f>
        <v>0.33302252754527051</v>
      </c>
    </row>
    <row r="56" spans="2:4" x14ac:dyDescent="0.45">
      <c r="B56" s="1">
        <v>46</v>
      </c>
      <c r="C56" s="9">
        <f>($F$10-$G$10)*COS(2*PI()*$J$10*$I$10*B56/100)+($G$10/$H$10)*COS((($F$10-$G$10)/$G$10)*2*PI()*$I$10*B56/100)</f>
        <v>2.905749483385903</v>
      </c>
      <c r="D56" s="9">
        <f>($F$10-$G$10)*SIN(2*PI()*$K$10*$I$10*B56/100)-($G$10/$H$10)*SIN((($F$10-$G$10)/$G$10)*2*PI()*$I$10*B56/100)</f>
        <v>-0.48755921820453085</v>
      </c>
    </row>
    <row r="57" spans="2:4" x14ac:dyDescent="0.45">
      <c r="B57" s="1">
        <v>47</v>
      </c>
      <c r="C57" s="9">
        <f>($F$10-$G$10)*COS(2*PI()*$J$10*$I$10*B57/100)+($G$10/$H$10)*COS((($F$10-$G$10)/$G$10)*2*PI()*$I$10*B57/100)</f>
        <v>0.56214394375714294</v>
      </c>
      <c r="D57" s="9">
        <f>($F$10-$G$10)*SIN(2*PI()*$K$10*$I$10*B57/100)-($G$10/$H$10)*SIN((($F$10-$G$10)/$G$10)*2*PI()*$I$10*B57/100)</f>
        <v>0.77032610935904877</v>
      </c>
    </row>
    <row r="58" spans="2:4" x14ac:dyDescent="0.45">
      <c r="B58" s="1">
        <v>48</v>
      </c>
      <c r="C58" s="9">
        <f>($F$10-$G$10)*COS(2*PI()*$J$10*$I$10*B58/100)+($G$10/$H$10)*COS((($F$10-$G$10)/$G$10)*2*PI()*$I$10*B58/100)</f>
        <v>-2.9763441039434366</v>
      </c>
      <c r="D58" s="9">
        <f>($F$10-$G$10)*SIN(2*PI()*$K$10*$I$10*B58/100)-($G$10/$H$10)*SIN((($F$10-$G$10)/$G$10)*2*PI()*$I$10*B58/100)</f>
        <v>-2.0899077350216726</v>
      </c>
    </row>
    <row r="59" spans="2:4" x14ac:dyDescent="0.45">
      <c r="B59" s="1">
        <v>49</v>
      </c>
      <c r="C59" s="9">
        <f>($F$10-$G$10)*COS(2*PI()*$J$10*$I$10*B59/100)+($G$10/$H$10)*COS((($F$10-$G$10)/$G$10)*2*PI()*$I$10*B59/100)</f>
        <v>-0.18837155858792182</v>
      </c>
      <c r="D59" s="9">
        <f>($F$10-$G$10)*SIN(2*PI()*$K$10*$I$10*B59/100)-($G$10/$H$10)*SIN((($F$10-$G$10)/$G$10)*2*PI()*$I$10*B59/100)</f>
        <v>2.2728747079256437</v>
      </c>
    </row>
    <row r="60" spans="2:4" x14ac:dyDescent="0.45">
      <c r="B60" s="1">
        <v>50</v>
      </c>
      <c r="C60" s="9">
        <f>($F$10-$G$10)*COS(2*PI()*$J$10*$I$10*B60/100)+($G$10/$H$10)*COS((($F$10-$G$10)/$G$10)*2*PI()*$I$10*B60/100)</f>
        <v>3</v>
      </c>
      <c r="D60" s="9">
        <f>($F$10-$G$10)*SIN(2*PI()*$K$10*$I$10*B60/100)-($G$10/$H$10)*SIN((($F$10-$G$10)/$G$10)*2*PI()*$I$10*B60/100)</f>
        <v>4.1163253361453656E-14</v>
      </c>
    </row>
    <row r="61" spans="2:4" x14ac:dyDescent="0.45">
      <c r="B61" s="1">
        <v>51</v>
      </c>
      <c r="C61" s="9">
        <f>($F$10-$G$10)*COS(2*PI()*$J$10*$I$10*B61/100)+($G$10/$H$10)*COS((($F$10-$G$10)/$G$10)*2*PI()*$I$10*B61/100)</f>
        <v>-0.18837155858798782</v>
      </c>
      <c r="D61" s="9">
        <f>($F$10-$G$10)*SIN(2*PI()*$K$10*$I$10*B61/100)-($G$10/$H$10)*SIN((($F$10-$G$10)/$G$10)*2*PI()*$I$10*B61/100)</f>
        <v>-2.2728747079256677</v>
      </c>
    </row>
    <row r="62" spans="2:4" x14ac:dyDescent="0.45">
      <c r="B62" s="1">
        <v>52</v>
      </c>
      <c r="C62" s="9">
        <f>($F$10-$G$10)*COS(2*PI()*$J$10*$I$10*B62/100)+($G$10/$H$10)*COS((($F$10-$G$10)/$G$10)*2*PI()*$I$10*B62/100)</f>
        <v>-2.9763441039434335</v>
      </c>
      <c r="D62" s="9">
        <f>($F$10-$G$10)*SIN(2*PI()*$K$10*$I$10*B62/100)-($G$10/$H$10)*SIN((($F$10-$G$10)/$G$10)*2*PI()*$I$10*B62/100)</f>
        <v>2.0899077350216868</v>
      </c>
    </row>
    <row r="63" spans="2:4" x14ac:dyDescent="0.45">
      <c r="B63" s="1">
        <v>53</v>
      </c>
      <c r="C63" s="9">
        <f>($F$10-$G$10)*COS(2*PI()*$J$10*$I$10*B63/100)+($G$10/$H$10)*COS((($F$10-$G$10)/$G$10)*2*PI()*$I$10*B63/100)</f>
        <v>0.562143943757208</v>
      </c>
      <c r="D63" s="9">
        <f>($F$10-$G$10)*SIN(2*PI()*$K$10*$I$10*B63/100)-($G$10/$H$10)*SIN((($F$10-$G$10)/$G$10)*2*PI()*$I$10*B63/100)</f>
        <v>-0.77032610935902313</v>
      </c>
    </row>
    <row r="64" spans="2:4" x14ac:dyDescent="0.45">
      <c r="B64" s="1">
        <v>54</v>
      </c>
      <c r="C64" s="9">
        <f>($F$10-$G$10)*COS(2*PI()*$J$10*$I$10*B64/100)+($G$10/$H$10)*COS((($F$10-$G$10)/$G$10)*2*PI()*$I$10*B64/100)</f>
        <v>2.9057494833858968</v>
      </c>
      <c r="D64" s="9">
        <f>($F$10-$G$10)*SIN(2*PI()*$K$10*$I$10*B64/100)-($G$10/$H$10)*SIN((($F$10-$G$10)/$G$10)*2*PI()*$I$10*B64/100)</f>
        <v>0.48755921820449233</v>
      </c>
    </row>
    <row r="65" spans="2:4" x14ac:dyDescent="0.45">
      <c r="B65" s="1">
        <v>55</v>
      </c>
      <c r="C65" s="9">
        <f>($F$10-$G$10)*COS(2*PI()*$J$10*$I$10*B65/100)+($G$10/$H$10)*COS((($F$10-$G$10)/$G$10)*2*PI()*$I$10*B65/100)</f>
        <v>-0.92705098312486267</v>
      </c>
      <c r="D65" s="9">
        <f>($F$10-$G$10)*SIN(2*PI()*$K$10*$I$10*B65/100)-($G$10/$H$10)*SIN((($F$10-$G$10)/$G$10)*2*PI()*$I$10*B65/100)</f>
        <v>-0.3330225275452634</v>
      </c>
    </row>
    <row r="66" spans="2:4" x14ac:dyDescent="0.45">
      <c r="B66" s="1">
        <v>56</v>
      </c>
      <c r="C66" s="9">
        <f>($F$10-$G$10)*COS(2*PI()*$J$10*$I$10*B66/100)+($G$10/$H$10)*COS((($F$10-$G$10)/$G$10)*2*PI()*$I$10*B66/100)</f>
        <v>-2.7893294576647332</v>
      </c>
      <c r="D66" s="9">
        <f>($F$10-$G$10)*SIN(2*PI()*$K$10*$I$10*B66/100)-($G$10/$H$10)*SIN((($F$10-$G$10)/$G$10)*2*PI()*$I$10*B66/100)</f>
        <v>-1.3205312983193491</v>
      </c>
    </row>
    <row r="67" spans="2:4" x14ac:dyDescent="0.45">
      <c r="B67" s="1">
        <v>57</v>
      </c>
      <c r="C67" s="9">
        <f>($F$10-$G$10)*COS(2*PI()*$J$10*$I$10*B67/100)+($G$10/$H$10)*COS((($F$10-$G$10)/$G$10)*2*PI()*$I$10*B67/100)</f>
        <v>1.2773378746952255</v>
      </c>
      <c r="D67" s="9">
        <f>($F$10-$G$10)*SIN(2*PI()*$K$10*$I$10*B67/100)-($G$10/$H$10)*SIN((($F$10-$G$10)/$G$10)*2*PI()*$I$10*B67/100)</f>
        <v>2.8890564550949733</v>
      </c>
    </row>
    <row r="68" spans="2:4" x14ac:dyDescent="0.45">
      <c r="B68" s="1">
        <v>58</v>
      </c>
      <c r="C68" s="9">
        <f>($F$10-$G$10)*COS(2*PI()*$J$10*$I$10*B68/100)+($G$10/$H$10)*COS((($F$10-$G$10)/$G$10)*2*PI()*$I$10*B68/100)</f>
        <v>2.6289200401315695</v>
      </c>
      <c r="D68" s="9">
        <f>($F$10-$G$10)*SIN(2*PI()*$K$10*$I$10*B68/100)-($G$10/$H$10)*SIN((($F$10-$G$10)/$G$10)*2*PI()*$I$10*B68/100)</f>
        <v>-1.8508478859590758</v>
      </c>
    </row>
    <row r="69" spans="2:4" x14ac:dyDescent="0.45">
      <c r="B69" s="1">
        <v>59</v>
      </c>
      <c r="C69" s="9">
        <f>($F$10-$G$10)*COS(2*PI()*$J$10*$I$10*B69/100)+($G$10/$H$10)*COS((($F$10-$G$10)/$G$10)*2*PI()*$I$10*B69/100)</f>
        <v>-1.6074803849369856</v>
      </c>
      <c r="D69" s="9">
        <f>($F$10-$G$10)*SIN(2*PI()*$K$10*$I$10*B69/100)-($G$10/$H$10)*SIN((($F$10-$G$10)/$G$10)*2*PI()*$I$10*B69/100)</f>
        <v>-0.71874688644340823</v>
      </c>
    </row>
    <row r="70" spans="2:4" x14ac:dyDescent="0.45">
      <c r="B70" s="1">
        <v>60</v>
      </c>
      <c r="C70" s="9">
        <f>($F$10-$G$10)*COS(2*PI()*$J$10*$I$10*B70/100)+($G$10/$H$10)*COS((($F$10-$G$10)/$G$10)*2*PI()*$I$10*B70/100)</f>
        <v>-2.4270509831248241</v>
      </c>
      <c r="D70" s="9">
        <f>($F$10-$G$10)*SIN(2*PI()*$K$10*$I$10*B70/100)-($G$10/$H$10)*SIN((($F$10-$G$10)/$G$10)*2*PI()*$I$10*B70/100)</f>
        <v>1.7633557568774256</v>
      </c>
    </row>
    <row r="71" spans="2:4" x14ac:dyDescent="0.45">
      <c r="B71" s="1">
        <v>61</v>
      </c>
      <c r="C71" s="9">
        <f>($F$10-$G$10)*COS(2*PI()*$J$10*$I$10*B71/100)+($G$10/$H$10)*COS((($F$10-$G$10)/$G$10)*2*PI()*$I$10*B71/100)</f>
        <v>1.9122719692460552</v>
      </c>
      <c r="D71" s="9">
        <f>($F$10-$G$10)*SIN(2*PI()*$K$10*$I$10*B71/100)-($G$10/$H$10)*SIN((($F$10-$G$10)/$G$10)*2*PI()*$I$10*B71/100)</f>
        <v>-1.1666530794814631</v>
      </c>
    </row>
    <row r="72" spans="2:4" x14ac:dyDescent="0.45">
      <c r="B72" s="1">
        <v>62</v>
      </c>
      <c r="C72" s="9">
        <f>($F$10-$G$10)*COS(2*PI()*$J$10*$I$10*B72/100)+($G$10/$H$10)*COS((($F$10-$G$10)/$G$10)*2*PI()*$I$10*B72/100)</f>
        <v>2.1869058822642224</v>
      </c>
      <c r="D72" s="9">
        <f>($F$10-$G$10)*SIN(2*PI()*$K$10*$I$10*B72/100)-($G$10/$H$10)*SIN((($F$10-$G$10)/$G$10)*2*PI()*$I$10*B72/100)</f>
        <v>1.1251069990033415</v>
      </c>
    </row>
    <row r="73" spans="2:4" x14ac:dyDescent="0.45">
      <c r="B73" s="1">
        <v>63</v>
      </c>
      <c r="C73" s="9">
        <f>($F$10-$G$10)*COS(2*PI()*$J$10*$I$10*B73/100)+($G$10/$H$10)*COS((($F$10-$G$10)/$G$10)*2*PI()*$I$10*B73/100)</f>
        <v>-2.1869058822642424</v>
      </c>
      <c r="D73" s="9">
        <f>($F$10-$G$10)*SIN(2*PI()*$K$10*$I$10*B73/100)-($G$10/$H$10)*SIN((($F$10-$G$10)/$G$10)*2*PI()*$I$10*B73/100)</f>
        <v>-1.5361056890587901</v>
      </c>
    </row>
    <row r="74" spans="2:4" x14ac:dyDescent="0.45">
      <c r="B74" s="1">
        <v>64</v>
      </c>
      <c r="C74" s="9">
        <f>($F$10-$G$10)*COS(2*PI()*$J$10*$I$10*B74/100)+($G$10/$H$10)*COS((($F$10-$G$10)/$G$10)*2*PI()*$I$10*B74/100)</f>
        <v>-1.9122719692460657</v>
      </c>
      <c r="D74" s="9">
        <f>($F$10-$G$10)*SIN(2*PI()*$K$10*$I$10*B74/100)-($G$10/$H$10)*SIN((($F$10-$G$10)/$G$10)*2*PI()*$I$10*B74/100)</f>
        <v>0.27313346844605779</v>
      </c>
    </row>
    <row r="75" spans="2:4" x14ac:dyDescent="0.45">
      <c r="B75" s="1">
        <v>65</v>
      </c>
      <c r="C75" s="9">
        <f>($F$10-$G$10)*COS(2*PI()*$J$10*$I$10*B75/100)+($G$10/$H$10)*COS((($F$10-$G$10)/$G$10)*2*PI()*$I$10*B75/100)</f>
        <v>2.4270509831248663</v>
      </c>
      <c r="D75" s="9">
        <f>($F$10-$G$10)*SIN(2*PI()*$K$10*$I$10*B75/100)-($G$10/$H$10)*SIN((($F$10-$G$10)/$G$10)*2*PI()*$I$10*B75/100)</f>
        <v>2.205819241042358</v>
      </c>
    </row>
    <row r="76" spans="2:4" x14ac:dyDescent="0.45">
      <c r="B76" s="1">
        <v>66</v>
      </c>
      <c r="C76" s="9">
        <f>($F$10-$G$10)*COS(2*PI()*$J$10*$I$10*B76/100)+($G$10/$H$10)*COS((($F$10-$G$10)/$G$10)*2*PI()*$I$10*B76/100)</f>
        <v>1.607480384936997</v>
      </c>
      <c r="D76" s="9">
        <f>($F$10-$G$10)*SIN(2*PI()*$K$10*$I$10*B76/100)-($G$10/$H$10)*SIN((($F$10-$G$10)/$G$10)*2*PI()*$I$10*B76/100)</f>
        <v>-2.8403813823585544</v>
      </c>
    </row>
    <row r="77" spans="2:4" x14ac:dyDescent="0.45">
      <c r="B77" s="1">
        <v>67</v>
      </c>
      <c r="C77" s="9">
        <f>($F$10-$G$10)*COS(2*PI()*$J$10*$I$10*B77/100)+($G$10/$H$10)*COS((($F$10-$G$10)/$G$10)*2*PI()*$I$10*B77/100)</f>
        <v>-2.6289200401316042</v>
      </c>
      <c r="D77" s="9">
        <f>($F$10-$G$10)*SIN(2*PI()*$K$10*$I$10*B77/100)-($G$10/$H$10)*SIN((($F$10-$G$10)/$G$10)*2*PI()*$I$10*B77/100)</f>
        <v>0.97618358074110567</v>
      </c>
    </row>
    <row r="78" spans="2:4" x14ac:dyDescent="0.45">
      <c r="B78" s="1">
        <v>68</v>
      </c>
      <c r="C78" s="9">
        <f>($F$10-$G$10)*COS(2*PI()*$J$10*$I$10*B78/100)+($G$10/$H$10)*COS((($F$10-$G$10)/$G$10)*2*PI()*$I$10*B78/100)</f>
        <v>-1.2773378746951989</v>
      </c>
      <c r="D78" s="9">
        <f>($F$10-$G$10)*SIN(2*PI()*$K$10*$I$10*B78/100)-($G$10/$H$10)*SIN((($F$10-$G$10)/$G$10)*2*PI()*$I$10*B78/100)</f>
        <v>0.65416058533746368</v>
      </c>
    </row>
    <row r="79" spans="2:4" x14ac:dyDescent="0.45">
      <c r="B79" s="1">
        <v>69</v>
      </c>
      <c r="C79" s="9">
        <f>($F$10-$G$10)*COS(2*PI()*$J$10*$I$10*B79/100)+($G$10/$H$10)*COS((($F$10-$G$10)/$G$10)*2*PI()*$I$10*B79/100)</f>
        <v>2.7893294576647598</v>
      </c>
      <c r="D79" s="9">
        <f>($F$10-$G$10)*SIN(2*PI()*$K$10*$I$10*B79/100)-($G$10/$H$10)*SIN((($F$10-$G$10)/$G$10)*2*PI()*$I$10*B79/100)</f>
        <v>-0.70352903727334359</v>
      </c>
    </row>
    <row r="80" spans="2:4" x14ac:dyDescent="0.45">
      <c r="B80" s="1">
        <v>70</v>
      </c>
      <c r="C80" s="9">
        <f>($F$10-$G$10)*COS(2*PI()*$J$10*$I$10*B80/100)+($G$10/$H$10)*COS((($F$10-$G$10)/$G$10)*2*PI()*$I$10*B80/100)</f>
        <v>0.92705098312483469</v>
      </c>
      <c r="D80" s="9">
        <f>($F$10-$G$10)*SIN(2*PI()*$K$10*$I$10*B80/100)-($G$10/$H$10)*SIN((($F$10-$G$10)/$G$10)*2*PI()*$I$10*B80/100)</f>
        <v>0.95105651629515464</v>
      </c>
    </row>
    <row r="81" spans="2:4" x14ac:dyDescent="0.45">
      <c r="B81" s="1">
        <v>71</v>
      </c>
      <c r="C81" s="9">
        <f>($F$10-$G$10)*COS(2*PI()*$J$10*$I$10*B81/100)+($G$10/$H$10)*COS((($F$10-$G$10)/$G$10)*2*PI()*$I$10*B81/100)</f>
        <v>-2.9057494833858937</v>
      </c>
      <c r="D81" s="9">
        <f>($F$10-$G$10)*SIN(2*PI()*$K$10*$I$10*B81/100)-($G$10/$H$10)*SIN((($F$10-$G$10)/$G$10)*2*PI()*$I$10*B81/100)</f>
        <v>-2.1082428589413418</v>
      </c>
    </row>
    <row r="82" spans="2:4" x14ac:dyDescent="0.45">
      <c r="B82" s="1">
        <v>72</v>
      </c>
      <c r="C82" s="9">
        <f>($F$10-$G$10)*COS(2*PI()*$J$10*$I$10*B82/100)+($G$10/$H$10)*COS((($F$10-$G$10)/$G$10)*2*PI()*$I$10*B82/100)</f>
        <v>-0.56214394375717902</v>
      </c>
      <c r="D82" s="9">
        <f>($F$10-$G$10)*SIN(2*PI()*$K$10*$I$10*B82/100)-($G$10/$H$10)*SIN((($F$10-$G$10)/$G$10)*2*PI()*$I$10*B82/100)</f>
        <v>1.9457945989321019</v>
      </c>
    </row>
    <row r="83" spans="2:4" x14ac:dyDescent="0.45">
      <c r="B83" s="1">
        <v>73</v>
      </c>
      <c r="C83" s="9">
        <f>($F$10-$G$10)*COS(2*PI()*$J$10*$I$10*B83/100)+($G$10/$H$10)*COS((($F$10-$G$10)/$G$10)*2*PI()*$I$10*B83/100)</f>
        <v>2.9763441039434371</v>
      </c>
      <c r="D83" s="9">
        <f>($F$10-$G$10)*SIN(2*PI()*$K$10*$I$10*B83/100)-($G$10/$H$10)*SIN((($F$10-$G$10)/$G$10)*2*PI()*$I$10*B83/100)</f>
        <v>0.50009586273574103</v>
      </c>
    </row>
    <row r="84" spans="2:4" x14ac:dyDescent="0.45">
      <c r="B84" s="1">
        <v>74</v>
      </c>
      <c r="C84" s="9">
        <f>($F$10-$G$10)*COS(2*PI()*$J$10*$I$10*B84/100)+($G$10/$H$10)*COS((($F$10-$G$10)/$G$10)*2*PI()*$I$10*B84/100)</f>
        <v>0.18837155858791593</v>
      </c>
      <c r="D84" s="9">
        <f>($F$10-$G$10)*SIN(2*PI()*$K$10*$I$10*B84/100)-($G$10/$H$10)*SIN((($F$10-$G$10)/$G$10)*2*PI()*$I$10*B84/100)</f>
        <v>-2.5390532139798352</v>
      </c>
    </row>
    <row r="85" spans="2:4" x14ac:dyDescent="0.45">
      <c r="B85" s="1">
        <v>75</v>
      </c>
      <c r="C85" s="9">
        <f>($F$10-$G$10)*COS(2*PI()*$J$10*$I$10*B85/100)+($G$10/$H$10)*COS((($F$10-$G$10)/$G$10)*2*PI()*$I$10*B85/100)</f>
        <v>-3</v>
      </c>
      <c r="D85" s="9">
        <f>($F$10-$G$10)*SIN(2*PI()*$K$10*$I$10*B85/100)-($G$10/$H$10)*SIN((($F$10-$G$10)/$G$10)*2*PI()*$I$10*B85/100)</f>
        <v>2.0000000000000058</v>
      </c>
    </row>
    <row r="86" spans="2:4" x14ac:dyDescent="0.45">
      <c r="B86" s="1">
        <v>76</v>
      </c>
      <c r="C86" s="9">
        <f>($F$10-$G$10)*COS(2*PI()*$J$10*$I$10*B86/100)+($G$10/$H$10)*COS((($F$10-$G$10)/$G$10)*2*PI()*$I$10*B86/100)</f>
        <v>0.18837155858795115</v>
      </c>
      <c r="D86" s="9">
        <f>($F$10-$G$10)*SIN(2*PI()*$K$10*$I$10*B86/100)-($G$10/$H$10)*SIN((($F$10-$G$10)/$G$10)*2*PI()*$I$10*B86/100)</f>
        <v>-0.54299975712327786</v>
      </c>
    </row>
    <row r="87" spans="2:4" x14ac:dyDescent="0.45">
      <c r="B87" s="1">
        <v>77</v>
      </c>
      <c r="C87" s="9">
        <f>($F$10-$G$10)*COS(2*PI()*$J$10*$I$10*B87/100)+($G$10/$H$10)*COS((($F$10-$G$10)/$G$10)*2*PI()*$I$10*B87/100)</f>
        <v>2.9763441039434331</v>
      </c>
      <c r="D87" s="9">
        <f>($F$10-$G$10)*SIN(2*PI()*$K$10*$I$10*B87/100)-($G$10/$H$10)*SIN((($F$10-$G$10)/$G$10)*2*PI()*$I$10*B87/100)</f>
        <v>0.24942939560706415</v>
      </c>
    </row>
    <row r="88" spans="2:4" x14ac:dyDescent="0.45">
      <c r="B88" s="1">
        <v>78</v>
      </c>
      <c r="C88" s="9">
        <f>($F$10-$G$10)*COS(2*PI()*$J$10*$I$10*B88/100)+($G$10/$H$10)*COS((($F$10-$G$10)/$G$10)*2*PI()*$I$10*B88/100)</f>
        <v>-0.56214394375721366</v>
      </c>
      <c r="D88" s="9">
        <f>($F$10-$G$10)*SIN(2*PI()*$K$10*$I$10*B88/100)-($G$10/$H$10)*SIN((($F$10-$G$10)/$G$10)*2*PI()*$I$10*B88/100)</f>
        <v>-1.8779902525203895E-2</v>
      </c>
    </row>
    <row r="89" spans="2:4" x14ac:dyDescent="0.45">
      <c r="B89" s="1">
        <v>79</v>
      </c>
      <c r="C89" s="9">
        <f>($F$10-$G$10)*COS(2*PI()*$J$10*$I$10*B89/100)+($G$10/$H$10)*COS((($F$10-$G$10)/$G$10)*2*PI()*$I$10*B89/100)</f>
        <v>-2.9057494833858954</v>
      </c>
      <c r="D89" s="9">
        <f>($F$10-$G$10)*SIN(2*PI()*$K$10*$I$10*B89/100)-($G$10/$H$10)*SIN((($F$10-$G$10)/$G$10)*2*PI()*$I$10*B89/100)</f>
        <v>-1.6108630846116645</v>
      </c>
    </row>
    <row r="90" spans="2:4" x14ac:dyDescent="0.45">
      <c r="B90" s="1">
        <v>80</v>
      </c>
      <c r="C90" s="9">
        <f>($F$10-$G$10)*COS(2*PI()*$J$10*$I$10*B90/100)+($G$10/$H$10)*COS((($F$10-$G$10)/$G$10)*2*PI()*$I$10*B90/100)</f>
        <v>0.9270509831248277</v>
      </c>
      <c r="D90" s="9">
        <f>($F$10-$G$10)*SIN(2*PI()*$K$10*$I$10*B90/100)-($G$10/$H$10)*SIN((($F$10-$G$10)/$G$10)*2*PI()*$I$10*B90/100)</f>
        <v>2.8531695488854574</v>
      </c>
    </row>
    <row r="91" spans="2:4" x14ac:dyDescent="0.45">
      <c r="B91" s="1">
        <v>81</v>
      </c>
      <c r="C91" s="9">
        <f>($F$10-$G$10)*COS(2*PI()*$J$10*$I$10*B91/100)+($G$10/$H$10)*COS((($F$10-$G$10)/$G$10)*2*PI()*$I$10*B91/100)</f>
        <v>2.7893294576647305</v>
      </c>
      <c r="D91" s="9">
        <f>($F$10-$G$10)*SIN(2*PI()*$K$10*$I$10*B91/100)-($G$10/$H$10)*SIN((($F$10-$G$10)/$G$10)*2*PI()*$I$10*B91/100)</f>
        <v>-1.4397781426426484</v>
      </c>
    </row>
    <row r="92" spans="2:4" x14ac:dyDescent="0.45">
      <c r="B92" s="1">
        <v>82</v>
      </c>
      <c r="C92" s="9">
        <f>($F$10-$G$10)*COS(2*PI()*$J$10*$I$10*B92/100)+($G$10/$H$10)*COS((($F$10-$G$10)/$G$10)*2*PI()*$I$10*B92/100)</f>
        <v>-1.2773378746951922</v>
      </c>
      <c r="D92" s="9">
        <f>($F$10-$G$10)*SIN(2*PI()*$K$10*$I$10*B92/100)-($G$10/$H$10)*SIN((($F$10-$G$10)/$G$10)*2*PI()*$I$10*B92/100)</f>
        <v>-1.1554935195946603</v>
      </c>
    </row>
    <row r="93" spans="2:4" x14ac:dyDescent="0.45">
      <c r="B93" s="1">
        <v>83</v>
      </c>
      <c r="C93" s="9">
        <f>($F$10-$G$10)*COS(2*PI()*$J$10*$I$10*B93/100)+($G$10/$H$10)*COS((($F$10-$G$10)/$G$10)*2*PI()*$I$10*B93/100)</f>
        <v>-2.6289200401315664</v>
      </c>
      <c r="D93" s="9">
        <f>($F$10-$G$10)*SIN(2*PI()*$K$10*$I$10*B93/100)-($G$10/$H$10)*SIN((($F$10-$G$10)/$G$10)*2*PI()*$I$10*B93/100)</f>
        <v>1.9396909289445574</v>
      </c>
    </row>
    <row r="94" spans="2:4" x14ac:dyDescent="0.45">
      <c r="B94" s="1">
        <v>84</v>
      </c>
      <c r="C94" s="9">
        <f>($F$10-$G$10)*COS(2*PI()*$J$10*$I$10*B94/100)+($G$10/$H$10)*COS((($F$10-$G$10)/$G$10)*2*PI()*$I$10*B94/100)</f>
        <v>1.6074803849370265</v>
      </c>
      <c r="D94" s="9">
        <f>($F$10-$G$10)*SIN(2*PI()*$K$10*$I$10*B94/100)-($G$10/$H$10)*SIN((($F$10-$G$10)/$G$10)*2*PI()*$I$10*B94/100)</f>
        <v>-1.1517255313545349</v>
      </c>
    </row>
    <row r="95" spans="2:4" x14ac:dyDescent="0.45">
      <c r="B95" s="1">
        <v>85</v>
      </c>
      <c r="C95" s="9">
        <f>($F$10-$G$10)*COS(2*PI()*$J$10*$I$10*B95/100)+($G$10/$H$10)*COS((($F$10-$G$10)/$G$10)*2*PI()*$I$10*B95/100)</f>
        <v>2.4270509831248201</v>
      </c>
      <c r="D95" s="9">
        <f>($F$10-$G$10)*SIN(2*PI()*$K$10*$I$10*B95/100)-($G$10/$H$10)*SIN((($F$10-$G$10)/$G$10)*2*PI()*$I$10*B95/100)</f>
        <v>1.0302487364574</v>
      </c>
    </row>
    <row r="96" spans="2:4" x14ac:dyDescent="0.45">
      <c r="B96" s="1">
        <v>86</v>
      </c>
      <c r="C96" s="9">
        <f>($F$10-$G$10)*COS(2*PI()*$J$10*$I$10*B96/100)+($G$10/$H$10)*COS((($F$10-$G$10)/$G$10)*2*PI()*$I$10*B96/100)</f>
        <v>-1.9122719692460926</v>
      </c>
      <c r="D96" s="9">
        <f>($F$10-$G$10)*SIN(2*PI()*$K$10*$I$10*B96/100)-($G$10/$H$10)*SIN((($F$10-$G$10)/$G$10)*2*PI()*$I$10*B96/100)</f>
        <v>-1.2678930171054943</v>
      </c>
    </row>
    <row r="97" spans="2:4" x14ac:dyDescent="0.45">
      <c r="B97" s="1">
        <v>87</v>
      </c>
      <c r="C97" s="9">
        <f>($F$10-$G$10)*COS(2*PI()*$J$10*$I$10*B97/100)+($G$10/$H$10)*COS((($F$10-$G$10)/$G$10)*2*PI()*$I$10*B97/100)</f>
        <v>-2.1869058822642184</v>
      </c>
      <c r="D97" s="9">
        <f>($F$10-$G$10)*SIN(2*PI()*$K$10*$I$10*B97/100)-($G$10/$H$10)*SIN((($F$10-$G$10)/$G$10)*2*PI()*$I$10*B97/100)</f>
        <v>-0.16701147720142917</v>
      </c>
    </row>
    <row r="98" spans="2:4" x14ac:dyDescent="0.45">
      <c r="B98" s="1">
        <v>88</v>
      </c>
      <c r="C98" s="9">
        <f>($F$10-$G$10)*COS(2*PI()*$J$10*$I$10*B98/100)+($G$10/$H$10)*COS((($F$10-$G$10)/$G$10)*2*PI()*$I$10*B98/100)</f>
        <v>2.1869058822642464</v>
      </c>
      <c r="D98" s="9">
        <f>($F$10-$G$10)*SIN(2*PI()*$K$10*$I$10*B98/100)-($G$10/$H$10)*SIN((($F$10-$G$10)/$G$10)*2*PI()*$I$10*B98/100)</f>
        <v>2.4942012108607523</v>
      </c>
    </row>
    <row r="99" spans="2:4" x14ac:dyDescent="0.45">
      <c r="B99" s="1">
        <v>89</v>
      </c>
      <c r="C99" s="9">
        <f>($F$10-$G$10)*COS(2*PI()*$J$10*$I$10*B99/100)+($G$10/$H$10)*COS((($F$10-$G$10)/$G$10)*2*PI()*$I$10*B99/100)</f>
        <v>1.9122719692460608</v>
      </c>
      <c r="D99" s="9">
        <f>($F$10-$G$10)*SIN(2*PI()*$K$10*$I$10*B99/100)-($G$10/$H$10)*SIN((($F$10-$G$10)/$G$10)*2*PI()*$I$10*B99/100)</f>
        <v>-2.7076795650330423</v>
      </c>
    </row>
    <row r="100" spans="2:4" x14ac:dyDescent="0.45">
      <c r="B100" s="1">
        <v>90</v>
      </c>
      <c r="C100" s="9">
        <f>($F$10-$G$10)*COS(2*PI()*$J$10*$I$10*B100/100)+($G$10/$H$10)*COS((($F$10-$G$10)/$G$10)*2*PI()*$I$10*B100/100)</f>
        <v>-2.4270509831248446</v>
      </c>
      <c r="D100" s="9">
        <f>($F$10-$G$10)*SIN(2*PI()*$K$10*$I$10*B100/100)-($G$10/$H$10)*SIN((($F$10-$G$10)/$G$10)*2*PI()*$I$10*B100/100)</f>
        <v>0.58778525229245449</v>
      </c>
    </row>
    <row r="101" spans="2:4" x14ac:dyDescent="0.45">
      <c r="B101" s="1">
        <v>91</v>
      </c>
      <c r="C101" s="9">
        <f>($F$10-$G$10)*COS(2*PI()*$J$10*$I$10*B101/100)+($G$10/$H$10)*COS((($F$10-$G$10)/$G$10)*2*PI()*$I$10*B101/100)</f>
        <v>-1.6074803849369919</v>
      </c>
      <c r="D101" s="9">
        <f>($F$10-$G$10)*SIN(2*PI()*$K$10*$I$10*B101/100)-($G$10/$H$10)*SIN((($F$10-$G$10)/$G$10)*2*PI()*$I$10*B101/100)</f>
        <v>0.96990896456070064</v>
      </c>
    </row>
    <row r="102" spans="2:4" x14ac:dyDescent="0.45">
      <c r="B102" s="1">
        <v>92</v>
      </c>
      <c r="C102" s="9">
        <f>($F$10-$G$10)*COS(2*PI()*$J$10*$I$10*B102/100)+($G$10/$H$10)*COS((($F$10-$G$10)/$G$10)*2*PI()*$I$10*B102/100)</f>
        <v>2.6289200401316273</v>
      </c>
      <c r="D102" s="9">
        <f>($F$10-$G$10)*SIN(2*PI()*$K$10*$I$10*B102/100)-($G$10/$H$10)*SIN((($F$10-$G$10)/$G$10)*2*PI()*$I$10*B102/100)</f>
        <v>-0.88734053775571176</v>
      </c>
    </row>
    <row r="103" spans="2:4" x14ac:dyDescent="0.45">
      <c r="B103" s="1">
        <v>93</v>
      </c>
      <c r="C103" s="9">
        <f>($F$10-$G$10)*COS(2*PI()*$J$10*$I$10*B103/100)+($G$10/$H$10)*COS((($F$10-$G$10)/$G$10)*2*PI()*$I$10*B103/100)</f>
        <v>1.2773378746952322</v>
      </c>
      <c r="D103" s="9">
        <f>($F$10-$G$10)*SIN(2*PI()*$K$10*$I$10*B103/100)-($G$10/$H$10)*SIN((($F$10-$G$10)/$G$10)*2*PI()*$I$10*B103/100)</f>
        <v>1.0794023501629402</v>
      </c>
    </row>
    <row r="104" spans="2:4" x14ac:dyDescent="0.45">
      <c r="B104" s="1">
        <v>94</v>
      </c>
      <c r="C104" s="9">
        <f>($F$10-$G$10)*COS(2*PI()*$J$10*$I$10*B104/100)+($G$10/$H$10)*COS((($F$10-$G$10)/$G$10)*2*PI()*$I$10*B104/100)</f>
        <v>-2.7893294576647776</v>
      </c>
      <c r="D104" s="9">
        <f>($F$10-$G$10)*SIN(2*PI()*$K$10*$I$10*B104/100)-($G$10/$H$10)*SIN((($F$10-$G$10)/$G$10)*2*PI()*$I$10*B104/100)</f>
        <v>-2.0567804036886614</v>
      </c>
    </row>
    <row r="105" spans="2:4" x14ac:dyDescent="0.45">
      <c r="B105" s="1">
        <v>95</v>
      </c>
      <c r="C105" s="9">
        <f>($F$10-$G$10)*COS(2*PI()*$J$10*$I$10*B105/100)+($G$10/$H$10)*COS((($F$10-$G$10)/$G$10)*2*PI()*$I$10*B105/100)</f>
        <v>-0.92705098312486967</v>
      </c>
      <c r="D105" s="9">
        <f>($F$10-$G$10)*SIN(2*PI()*$K$10*$I$10*B105/100)-($G$10/$H$10)*SIN((($F$10-$G$10)/$G$10)*2*PI()*$I$10*B105/100)</f>
        <v>1.5690905050450181</v>
      </c>
    </row>
    <row r="106" spans="2:4" x14ac:dyDescent="0.45">
      <c r="B106" s="1">
        <v>96</v>
      </c>
      <c r="C106" s="9">
        <f>($F$10-$G$10)*COS(2*PI()*$J$10*$I$10*B106/100)+($G$10/$H$10)*COS((($F$10-$G$10)/$G$10)*2*PI()*$I$10*B106/100)</f>
        <v>2.9057494833859057</v>
      </c>
      <c r="D106" s="9">
        <f>($F$10-$G$10)*SIN(2*PI()*$K$10*$I$10*B106/100)-($G$10/$H$10)*SIN((($F$10-$G$10)/$G$10)*2*PI()*$I$10*B106/100)</f>
        <v>0.98493899253420114</v>
      </c>
    </row>
    <row r="107" spans="2:4" x14ac:dyDescent="0.45">
      <c r="B107" s="1">
        <v>97</v>
      </c>
      <c r="C107" s="9">
        <f>($F$10-$G$10)*COS(2*PI()*$J$10*$I$10*B107/100)+($G$10/$H$10)*COS((($F$10-$G$10)/$G$10)*2*PI()*$I$10*B107/100)</f>
        <v>0.56214394375713139</v>
      </c>
      <c r="D107" s="9">
        <f>($F$10-$G$10)*SIN(2*PI()*$K$10*$I$10*B107/100)-($G$10/$H$10)*SIN((($F$10-$G$10)/$G$10)*2*PI()*$I$10*B107/100)</f>
        <v>-2.7349006108164113</v>
      </c>
    </row>
    <row r="108" spans="2:4" x14ac:dyDescent="0.45">
      <c r="B108" s="1">
        <v>98</v>
      </c>
      <c r="C108" s="9">
        <f>($F$10-$G$10)*COS(2*PI()*$J$10*$I$10*B108/100)+($G$10/$H$10)*COS((($F$10-$G$10)/$G$10)*2*PI()*$I$10*B108/100)</f>
        <v>-2.976344103943438</v>
      </c>
      <c r="D108" s="9">
        <f>($F$10-$G$10)*SIN(2*PI()*$K$10*$I$10*B108/100)-($G$10/$H$10)*SIN((($F$10-$G$10)/$G$10)*2*PI()*$I$10*B108/100)</f>
        <v>1.8392412678930816</v>
      </c>
    </row>
    <row r="109" spans="2:4" x14ac:dyDescent="0.45">
      <c r="B109" s="1">
        <v>99</v>
      </c>
      <c r="C109" s="9">
        <f>($F$10-$G$10)*COS(2*PI()*$J$10*$I$10*B109/100)+($G$10/$H$10)*COS((($F$10-$G$10)/$G$10)*2*PI()*$I$10*B109/100)</f>
        <v>-0.18837155858791005</v>
      </c>
      <c r="D109" s="9">
        <f>($F$10-$G$10)*SIN(2*PI()*$K$10*$I$10*B109/100)-($G$10/$H$10)*SIN((($F$10-$G$10)/$G$10)*2*PI()*$I$10*B109/100)</f>
        <v>-0.27682125106906463</v>
      </c>
    </row>
    <row r="110" spans="2:4" ht="18.600000000000001" thickBot="1" x14ac:dyDescent="0.5">
      <c r="B110" s="3">
        <v>100</v>
      </c>
      <c r="C110" s="9">
        <f>($F$10-$G$10)*COS(2*PI()*$J$10*$I$10*B110/100)+($G$10/$H$10)*COS((($F$10-$G$10)/$G$10)*2*PI()*$I$10*B110/100)</f>
        <v>3</v>
      </c>
      <c r="D110" s="9">
        <f>($F$10-$G$10)*SIN(2*PI()*$K$10*$I$10*B110/100)-($G$10/$H$10)*SIN((($F$10-$G$10)/$G$10)*2*PI()*$I$10*B110/100)</f>
        <v>-9.800667222226167E-14</v>
      </c>
    </row>
    <row r="111" spans="2:4" x14ac:dyDescent="0.45">
      <c r="C111" s="9">
        <f>($F$10-$G$10)*COS(2*PI()*$J$10*$I$10*B111/100)+($G$10/$H$10)*COS((($F$10-$G$10)/$G$10)*2*PI()*$I$10*B111/100)</f>
        <v>3</v>
      </c>
      <c r="D111" s="9">
        <f>($F$10-$G$10)*SIN(2*PI()*$K$10*$I$10*B111/100)-($G$10/$H$10)*SIN((($F$10-$G$10)/$G$10)*2*PI()*$I$10*B111/100)</f>
        <v>0</v>
      </c>
    </row>
    <row r="112" spans="2:4" x14ac:dyDescent="0.45">
      <c r="C112" s="9">
        <f>($F$10-$G$10)*COS(2*PI()*$J$10*$I$10*B112/100)+($G$10/$H$10)*COS((($F$10-$G$10)/$G$10)*2*PI()*$I$10*B112/100)</f>
        <v>3</v>
      </c>
      <c r="D112" s="9">
        <f>($F$10-$G$10)*SIN(2*PI()*$K$10*$I$10*B112/100)-($G$10/$H$10)*SIN((($F$10-$G$10)/$G$10)*2*PI()*$I$10*B112/100)</f>
        <v>0</v>
      </c>
    </row>
    <row r="113" spans="3:4" x14ac:dyDescent="0.45">
      <c r="C113" s="9">
        <f>($F$10-$G$10)*COS(2*PI()*$J$10*$I$10*B113/100)+($G$10/$H$10)*COS((($F$10-$G$10)/$G$10)*2*PI()*$I$10*B113/100)</f>
        <v>3</v>
      </c>
      <c r="D113" s="9">
        <f>($F$10-$G$10)*SIN(2*PI()*$K$10*$I$10*B113/100)-($G$10/$H$10)*SIN((($F$10-$G$10)/$G$10)*2*PI()*$I$10*B113/100)</f>
        <v>0</v>
      </c>
    </row>
    <row r="114" spans="3:4" ht="18.600000000000001" thickBot="1" x14ac:dyDescent="0.5">
      <c r="C114" s="10">
        <f>($F$10-$G$10)*COS(2*PI()*$J$10*$I$10*B114/100)+($G$10/$H$10)*COS((($F$10-$G$10)/$G$10)*2*PI()*$I$10*B114/100)</f>
        <v>3</v>
      </c>
      <c r="D114" s="10">
        <f>($F$10-$G$10)*SIN(2*PI()*$K$10*$I$10*B114/100)-($G$10/$H$10)*SIN((($F$10-$G$10)/$G$10)*2*PI()*$I$10*B114/100)</f>
        <v>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演習問題１（円上の糸掛け）</vt:lpstr>
      <vt:lpstr>【解答】演習問題１（円上の糸掛け） </vt:lpstr>
      <vt:lpstr>演習問題２（螺旋）</vt:lpstr>
      <vt:lpstr>演習問題3（エピ・ハイポサイクロイド）</vt:lpstr>
      <vt:lpstr>演習問題4（リサージュ曲線）</vt:lpstr>
      <vt:lpstr>付録（キメラカーブ）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k.okamoto</dc:creator>
  <cp:lastModifiedBy>k.okamoto</cp:lastModifiedBy>
  <dcterms:created xsi:type="dcterms:W3CDTF">2020-07-07T07:31:49Z</dcterms:created>
  <dcterms:modified xsi:type="dcterms:W3CDTF">2020-07-14T04:55:39Z</dcterms:modified>
</cp:coreProperties>
</file>