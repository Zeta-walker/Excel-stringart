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okamoto\Dropbox (和から株式会社)\集団講座\セミナー\【数学アート系】セミナー\数学アートセミナー（新）\Excelで学ぶアート数学-ストリング・アート編-\"/>
    </mc:Choice>
  </mc:AlternateContent>
  <xr:revisionPtr revIDLastSave="0" documentId="13_ncr:1_{36AD2030-3976-4B7F-964B-77C3C7073BF9}" xr6:coauthVersionLast="45" xr6:coauthVersionMax="45" xr10:uidLastSave="{00000000-0000-0000-0000-000000000000}"/>
  <bookViews>
    <workbookView xWindow="-108" yWindow="-108" windowWidth="23256" windowHeight="12576" xr2:uid="{17DFA0A4-A2F8-42D5-875B-5434A6C5B8F7}"/>
  </bookViews>
  <sheets>
    <sheet name="演習問題１（円上の糸掛け）" sheetId="1" r:id="rId1"/>
    <sheet name="【解答】演習問題１（円上の糸掛け） " sheetId="8" state="hidden" r:id="rId2"/>
    <sheet name="演習問題２（螺旋）" sheetId="2" r:id="rId3"/>
    <sheet name="演習問題3（エピ・ハイポサイクロイド）" sheetId="4" r:id="rId4"/>
    <sheet name="演習問題4（リサージュ曲線）" sheetId="3" r:id="rId5"/>
    <sheet name="【解答】演習問題4（リサージュ曲線）" sheetId="9" state="hidden" r:id="rId6"/>
    <sheet name="付録（キメラカーブ）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1" i="9" l="1"/>
  <c r="D11" i="9"/>
  <c r="C12" i="9"/>
  <c r="D12" i="9"/>
  <c r="C13" i="9"/>
  <c r="D13" i="9"/>
  <c r="C14" i="9"/>
  <c r="D14" i="9"/>
  <c r="C15" i="9"/>
  <c r="D15" i="9"/>
  <c r="C16" i="9"/>
  <c r="D16" i="9"/>
  <c r="C17" i="9"/>
  <c r="D17" i="9"/>
  <c r="C18" i="9"/>
  <c r="D18" i="9"/>
  <c r="C19" i="9"/>
  <c r="D19" i="9"/>
  <c r="C20" i="9"/>
  <c r="D20" i="9"/>
  <c r="C21" i="9"/>
  <c r="D21" i="9"/>
  <c r="C22" i="9"/>
  <c r="D22" i="9"/>
  <c r="C23" i="9"/>
  <c r="D23" i="9"/>
  <c r="C24" i="9"/>
  <c r="D24" i="9"/>
  <c r="C25" i="9"/>
  <c r="D25" i="9"/>
  <c r="C26" i="9"/>
  <c r="D26" i="9"/>
  <c r="C27" i="9"/>
  <c r="D27" i="9"/>
  <c r="C28" i="9"/>
  <c r="D28" i="9"/>
  <c r="C29" i="9"/>
  <c r="D29" i="9"/>
  <c r="C30" i="9"/>
  <c r="D30" i="9"/>
  <c r="C31" i="9"/>
  <c r="D31" i="9"/>
  <c r="C32" i="9"/>
  <c r="D32" i="9"/>
  <c r="C33" i="9"/>
  <c r="D33" i="9"/>
  <c r="C34" i="9"/>
  <c r="D34" i="9"/>
  <c r="C35" i="9"/>
  <c r="D35" i="9"/>
  <c r="C36" i="9"/>
  <c r="D36" i="9"/>
  <c r="C37" i="9"/>
  <c r="D37" i="9"/>
  <c r="C38" i="9"/>
  <c r="D38" i="9"/>
  <c r="C39" i="9"/>
  <c r="D39" i="9"/>
  <c r="C40" i="9"/>
  <c r="D40" i="9"/>
  <c r="C41" i="9"/>
  <c r="D41" i="9"/>
  <c r="C42" i="9"/>
  <c r="D42" i="9"/>
  <c r="C43" i="9"/>
  <c r="D43" i="9"/>
  <c r="C44" i="9"/>
  <c r="D44" i="9"/>
  <c r="C45" i="9"/>
  <c r="D45" i="9"/>
  <c r="C46" i="9"/>
  <c r="D46" i="9"/>
  <c r="C47" i="9"/>
  <c r="D47" i="9"/>
  <c r="C48" i="9"/>
  <c r="D48" i="9"/>
  <c r="C49" i="9"/>
  <c r="D49" i="9"/>
  <c r="C50" i="9"/>
  <c r="D50" i="9"/>
  <c r="C51" i="9"/>
  <c r="D51" i="9"/>
  <c r="C52" i="9"/>
  <c r="D52" i="9"/>
  <c r="C53" i="9"/>
  <c r="D53" i="9"/>
  <c r="C54" i="9"/>
  <c r="D54" i="9"/>
  <c r="C55" i="9"/>
  <c r="D55" i="9"/>
  <c r="C56" i="9"/>
  <c r="D56" i="9"/>
  <c r="C57" i="9"/>
  <c r="D57" i="9"/>
  <c r="C58" i="9"/>
  <c r="D58" i="9"/>
  <c r="C59" i="9"/>
  <c r="D59" i="9"/>
  <c r="C60" i="9"/>
  <c r="D60" i="9"/>
  <c r="C61" i="9"/>
  <c r="D61" i="9"/>
  <c r="C62" i="9"/>
  <c r="D62" i="9"/>
  <c r="C63" i="9"/>
  <c r="D63" i="9"/>
  <c r="C64" i="9"/>
  <c r="D64" i="9"/>
  <c r="C65" i="9"/>
  <c r="D65" i="9"/>
  <c r="C66" i="9"/>
  <c r="D66" i="9"/>
  <c r="C67" i="9"/>
  <c r="D67" i="9"/>
  <c r="C68" i="9"/>
  <c r="D68" i="9"/>
  <c r="C69" i="9"/>
  <c r="D69" i="9"/>
  <c r="C70" i="9"/>
  <c r="D70" i="9"/>
  <c r="C71" i="9"/>
  <c r="D71" i="9"/>
  <c r="C72" i="9"/>
  <c r="D72" i="9"/>
  <c r="C73" i="9"/>
  <c r="D73" i="9"/>
  <c r="C74" i="9"/>
  <c r="D74" i="9"/>
  <c r="C75" i="9"/>
  <c r="D75" i="9"/>
  <c r="C76" i="9"/>
  <c r="D76" i="9"/>
  <c r="C77" i="9"/>
  <c r="D77" i="9"/>
  <c r="C78" i="9"/>
  <c r="D78" i="9"/>
  <c r="C79" i="9"/>
  <c r="D79" i="9"/>
  <c r="C80" i="9"/>
  <c r="D80" i="9"/>
  <c r="C81" i="9"/>
  <c r="D81" i="9"/>
  <c r="C82" i="9"/>
  <c r="D82" i="9"/>
  <c r="C83" i="9"/>
  <c r="D83" i="9"/>
  <c r="C84" i="9"/>
  <c r="D84" i="9"/>
  <c r="C85" i="9"/>
  <c r="D85" i="9"/>
  <c r="C86" i="9"/>
  <c r="D86" i="9"/>
  <c r="C87" i="9"/>
  <c r="D87" i="9"/>
  <c r="C88" i="9"/>
  <c r="D88" i="9"/>
  <c r="C89" i="9"/>
  <c r="D89" i="9"/>
  <c r="C90" i="9"/>
  <c r="D90" i="9"/>
  <c r="C91" i="9"/>
  <c r="D91" i="9"/>
  <c r="C92" i="9"/>
  <c r="D92" i="9"/>
  <c r="C93" i="9"/>
  <c r="D93" i="9"/>
  <c r="C94" i="9"/>
  <c r="D94" i="9"/>
  <c r="C95" i="9"/>
  <c r="D95" i="9"/>
  <c r="C96" i="9"/>
  <c r="D96" i="9"/>
  <c r="C97" i="9"/>
  <c r="D97" i="9"/>
  <c r="C98" i="9"/>
  <c r="D98" i="9"/>
  <c r="C99" i="9"/>
  <c r="D99" i="9"/>
  <c r="C100" i="9"/>
  <c r="D100" i="9"/>
  <c r="C101" i="9"/>
  <c r="D101" i="9"/>
  <c r="C102" i="9"/>
  <c r="D102" i="9"/>
  <c r="C103" i="9"/>
  <c r="D103" i="9"/>
  <c r="C104" i="9"/>
  <c r="D104" i="9"/>
  <c r="C105" i="9"/>
  <c r="D105" i="9"/>
  <c r="C106" i="9"/>
  <c r="D106" i="9"/>
  <c r="C107" i="9"/>
  <c r="D107" i="9"/>
  <c r="C108" i="9"/>
  <c r="D108" i="9"/>
  <c r="C109" i="9"/>
  <c r="D109" i="9"/>
  <c r="C110" i="9"/>
  <c r="D110" i="9"/>
  <c r="D10" i="9"/>
  <c r="C10" i="9"/>
  <c r="C11" i="7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/>
  <c r="C19" i="7"/>
  <c r="D19" i="7"/>
  <c r="C20" i="7"/>
  <c r="D20" i="7"/>
  <c r="C21" i="7"/>
  <c r="D21" i="7"/>
  <c r="C22" i="7"/>
  <c r="D22" i="7"/>
  <c r="C23" i="7"/>
  <c r="D23" i="7"/>
  <c r="C24" i="7"/>
  <c r="D24" i="7"/>
  <c r="C25" i="7"/>
  <c r="D25" i="7"/>
  <c r="C26" i="7"/>
  <c r="D26" i="7"/>
  <c r="C27" i="7"/>
  <c r="D27" i="7"/>
  <c r="C28" i="7"/>
  <c r="D28" i="7"/>
  <c r="C29" i="7"/>
  <c r="D29" i="7"/>
  <c r="C30" i="7"/>
  <c r="D30" i="7"/>
  <c r="C31" i="7"/>
  <c r="D31" i="7"/>
  <c r="C32" i="7"/>
  <c r="D32" i="7"/>
  <c r="C33" i="7"/>
  <c r="D33" i="7"/>
  <c r="C34" i="7"/>
  <c r="D34" i="7"/>
  <c r="C35" i="7"/>
  <c r="D35" i="7"/>
  <c r="C36" i="7"/>
  <c r="D36" i="7"/>
  <c r="C37" i="7"/>
  <c r="D37" i="7"/>
  <c r="C38" i="7"/>
  <c r="D38" i="7"/>
  <c r="C39" i="7"/>
  <c r="D39" i="7"/>
  <c r="C40" i="7"/>
  <c r="D40" i="7"/>
  <c r="C41" i="7"/>
  <c r="D41" i="7"/>
  <c r="C42" i="7"/>
  <c r="D42" i="7"/>
  <c r="C43" i="7"/>
  <c r="D43" i="7"/>
  <c r="C44" i="7"/>
  <c r="D44" i="7"/>
  <c r="C45" i="7"/>
  <c r="D45" i="7"/>
  <c r="C46" i="7"/>
  <c r="D46" i="7"/>
  <c r="C47" i="7"/>
  <c r="D47" i="7"/>
  <c r="C48" i="7"/>
  <c r="D48" i="7"/>
  <c r="C49" i="7"/>
  <c r="D49" i="7"/>
  <c r="C50" i="7"/>
  <c r="D50" i="7"/>
  <c r="C51" i="7"/>
  <c r="D51" i="7"/>
  <c r="C52" i="7"/>
  <c r="D52" i="7"/>
  <c r="C53" i="7"/>
  <c r="D53" i="7"/>
  <c r="C54" i="7"/>
  <c r="D54" i="7"/>
  <c r="C55" i="7"/>
  <c r="D55" i="7"/>
  <c r="C56" i="7"/>
  <c r="D56" i="7"/>
  <c r="C57" i="7"/>
  <c r="D57" i="7"/>
  <c r="C58" i="7"/>
  <c r="D58" i="7"/>
  <c r="C59" i="7"/>
  <c r="D59" i="7"/>
  <c r="C60" i="7"/>
  <c r="D60" i="7"/>
  <c r="C61" i="7"/>
  <c r="D61" i="7"/>
  <c r="C62" i="7"/>
  <c r="D62" i="7"/>
  <c r="C63" i="7"/>
  <c r="D63" i="7"/>
  <c r="C64" i="7"/>
  <c r="D64" i="7"/>
  <c r="C65" i="7"/>
  <c r="D65" i="7"/>
  <c r="C66" i="7"/>
  <c r="D66" i="7"/>
  <c r="C67" i="7"/>
  <c r="D67" i="7"/>
  <c r="C68" i="7"/>
  <c r="D68" i="7"/>
  <c r="C69" i="7"/>
  <c r="D69" i="7"/>
  <c r="C70" i="7"/>
  <c r="D70" i="7"/>
  <c r="C71" i="7"/>
  <c r="D71" i="7"/>
  <c r="C72" i="7"/>
  <c r="D72" i="7"/>
  <c r="C73" i="7"/>
  <c r="D73" i="7"/>
  <c r="C74" i="7"/>
  <c r="D74" i="7"/>
  <c r="C75" i="7"/>
  <c r="D75" i="7"/>
  <c r="C76" i="7"/>
  <c r="D76" i="7"/>
  <c r="C77" i="7"/>
  <c r="D77" i="7"/>
  <c r="C78" i="7"/>
  <c r="D78" i="7"/>
  <c r="C79" i="7"/>
  <c r="D79" i="7"/>
  <c r="C80" i="7"/>
  <c r="D80" i="7"/>
  <c r="C81" i="7"/>
  <c r="D81" i="7"/>
  <c r="C82" i="7"/>
  <c r="D82" i="7"/>
  <c r="C83" i="7"/>
  <c r="D83" i="7"/>
  <c r="C84" i="7"/>
  <c r="D84" i="7"/>
  <c r="C85" i="7"/>
  <c r="D85" i="7"/>
  <c r="C86" i="7"/>
  <c r="D86" i="7"/>
  <c r="C87" i="7"/>
  <c r="D87" i="7"/>
  <c r="C88" i="7"/>
  <c r="D88" i="7"/>
  <c r="C89" i="7"/>
  <c r="D89" i="7"/>
  <c r="C90" i="7"/>
  <c r="D90" i="7"/>
  <c r="C91" i="7"/>
  <c r="D91" i="7"/>
  <c r="C92" i="7"/>
  <c r="D92" i="7"/>
  <c r="C93" i="7"/>
  <c r="D93" i="7"/>
  <c r="C94" i="7"/>
  <c r="D94" i="7"/>
  <c r="C95" i="7"/>
  <c r="D95" i="7"/>
  <c r="C96" i="7"/>
  <c r="D96" i="7"/>
  <c r="C97" i="7"/>
  <c r="D97" i="7"/>
  <c r="C98" i="7"/>
  <c r="D98" i="7"/>
  <c r="C99" i="7"/>
  <c r="D99" i="7"/>
  <c r="C100" i="7"/>
  <c r="D100" i="7"/>
  <c r="C101" i="7"/>
  <c r="D101" i="7"/>
  <c r="C102" i="7"/>
  <c r="D102" i="7"/>
  <c r="C103" i="7"/>
  <c r="D103" i="7"/>
  <c r="C104" i="7"/>
  <c r="D104" i="7"/>
  <c r="C105" i="7"/>
  <c r="D105" i="7"/>
  <c r="C106" i="7"/>
  <c r="D106" i="7"/>
  <c r="C107" i="7"/>
  <c r="D107" i="7"/>
  <c r="C108" i="7"/>
  <c r="D108" i="7"/>
  <c r="C109" i="7"/>
  <c r="D109" i="7"/>
  <c r="C110" i="7"/>
  <c r="D110" i="7"/>
  <c r="C111" i="7"/>
  <c r="D111" i="7"/>
  <c r="C112" i="7"/>
  <c r="D112" i="7"/>
  <c r="C113" i="7"/>
  <c r="D113" i="7"/>
  <c r="C114" i="7"/>
  <c r="D114" i="7"/>
  <c r="C115" i="7"/>
  <c r="D115" i="7"/>
  <c r="C116" i="7"/>
  <c r="D116" i="7"/>
  <c r="C117" i="7"/>
  <c r="D117" i="7"/>
  <c r="C118" i="7"/>
  <c r="D118" i="7"/>
  <c r="C119" i="7"/>
  <c r="D119" i="7"/>
  <c r="C120" i="7"/>
  <c r="D120" i="7"/>
  <c r="C121" i="7"/>
  <c r="D121" i="7"/>
  <c r="C122" i="7"/>
  <c r="D122" i="7"/>
  <c r="C123" i="7"/>
  <c r="D123" i="7"/>
  <c r="C124" i="7"/>
  <c r="D124" i="7"/>
  <c r="C125" i="7"/>
  <c r="D125" i="7"/>
  <c r="C126" i="7"/>
  <c r="D126" i="7"/>
  <c r="C127" i="7"/>
  <c r="D127" i="7"/>
  <c r="C128" i="7"/>
  <c r="D128" i="7"/>
  <c r="C129" i="7"/>
  <c r="D129" i="7"/>
  <c r="C130" i="7"/>
  <c r="D130" i="7"/>
  <c r="C131" i="7"/>
  <c r="D131" i="7"/>
  <c r="C132" i="7"/>
  <c r="D132" i="7"/>
  <c r="C133" i="7"/>
  <c r="D133" i="7"/>
  <c r="C134" i="7"/>
  <c r="D134" i="7"/>
  <c r="C135" i="7"/>
  <c r="D135" i="7"/>
  <c r="C136" i="7"/>
  <c r="D136" i="7"/>
  <c r="C137" i="7"/>
  <c r="D137" i="7"/>
  <c r="C138" i="7"/>
  <c r="D138" i="7"/>
  <c r="C139" i="7"/>
  <c r="D139" i="7"/>
  <c r="C140" i="7"/>
  <c r="D140" i="7"/>
  <c r="C141" i="7"/>
  <c r="D141" i="7"/>
  <c r="C142" i="7"/>
  <c r="D142" i="7"/>
  <c r="C143" i="7"/>
  <c r="D143" i="7"/>
  <c r="C144" i="7"/>
  <c r="D144" i="7"/>
  <c r="C145" i="7"/>
  <c r="D145" i="7"/>
  <c r="C146" i="7"/>
  <c r="D146" i="7"/>
  <c r="C147" i="7"/>
  <c r="D147" i="7"/>
  <c r="C148" i="7"/>
  <c r="D148" i="7"/>
  <c r="C149" i="7"/>
  <c r="D149" i="7"/>
  <c r="C150" i="7"/>
  <c r="D150" i="7"/>
  <c r="C151" i="7"/>
  <c r="D151" i="7"/>
  <c r="C152" i="7"/>
  <c r="D152" i="7"/>
  <c r="C153" i="7"/>
  <c r="D153" i="7"/>
  <c r="C154" i="7"/>
  <c r="D154" i="7"/>
  <c r="C155" i="7"/>
  <c r="D155" i="7"/>
  <c r="C156" i="7"/>
  <c r="D156" i="7"/>
  <c r="C157" i="7"/>
  <c r="D157" i="7"/>
  <c r="C158" i="7"/>
  <c r="D158" i="7"/>
  <c r="C159" i="7"/>
  <c r="D159" i="7"/>
  <c r="C160" i="7"/>
  <c r="D160" i="7"/>
  <c r="C161" i="7"/>
  <c r="D161" i="7"/>
  <c r="C162" i="7"/>
  <c r="D162" i="7"/>
  <c r="C163" i="7"/>
  <c r="D163" i="7"/>
  <c r="C164" i="7"/>
  <c r="D164" i="7"/>
  <c r="C165" i="7"/>
  <c r="D165" i="7"/>
  <c r="C166" i="7"/>
  <c r="D166" i="7"/>
  <c r="C167" i="7"/>
  <c r="D167" i="7"/>
  <c r="C168" i="7"/>
  <c r="D168" i="7"/>
  <c r="C169" i="7"/>
  <c r="D169" i="7"/>
  <c r="C170" i="7"/>
  <c r="D170" i="7"/>
  <c r="C171" i="7"/>
  <c r="D171" i="7"/>
  <c r="C172" i="7"/>
  <c r="D172" i="7"/>
  <c r="C173" i="7"/>
  <c r="D173" i="7"/>
  <c r="C174" i="7"/>
  <c r="D174" i="7"/>
  <c r="C175" i="7"/>
  <c r="D175" i="7"/>
  <c r="C176" i="7"/>
  <c r="D176" i="7"/>
  <c r="C177" i="7"/>
  <c r="D177" i="7"/>
  <c r="C178" i="7"/>
  <c r="D178" i="7"/>
  <c r="C179" i="7"/>
  <c r="D179" i="7"/>
  <c r="C180" i="7"/>
  <c r="D180" i="7"/>
  <c r="C181" i="7"/>
  <c r="D181" i="7"/>
  <c r="C182" i="7"/>
  <c r="D182" i="7"/>
  <c r="C183" i="7"/>
  <c r="D183" i="7"/>
  <c r="C184" i="7"/>
  <c r="D184" i="7"/>
  <c r="C185" i="7"/>
  <c r="D185" i="7"/>
  <c r="C186" i="7"/>
  <c r="D186" i="7"/>
  <c r="C187" i="7"/>
  <c r="D187" i="7"/>
  <c r="C188" i="7"/>
  <c r="D188" i="7"/>
  <c r="C189" i="7"/>
  <c r="D189" i="7"/>
  <c r="C190" i="7"/>
  <c r="D190" i="7"/>
  <c r="C191" i="7"/>
  <c r="D191" i="7"/>
  <c r="C192" i="7"/>
  <c r="D192" i="7"/>
  <c r="C193" i="7"/>
  <c r="D193" i="7"/>
  <c r="C194" i="7"/>
  <c r="D194" i="7"/>
  <c r="C195" i="7"/>
  <c r="D195" i="7"/>
  <c r="C196" i="7"/>
  <c r="D196" i="7"/>
  <c r="C197" i="7"/>
  <c r="D197" i="7"/>
  <c r="C198" i="7"/>
  <c r="D198" i="7"/>
  <c r="C199" i="7"/>
  <c r="D199" i="7"/>
  <c r="C200" i="7"/>
  <c r="D200" i="7"/>
  <c r="C201" i="7"/>
  <c r="D201" i="7"/>
  <c r="C202" i="7"/>
  <c r="D202" i="7"/>
  <c r="C203" i="7"/>
  <c r="D203" i="7"/>
  <c r="C204" i="7"/>
  <c r="D204" i="7"/>
  <c r="C205" i="7"/>
  <c r="D205" i="7"/>
  <c r="C206" i="7"/>
  <c r="D206" i="7"/>
  <c r="C207" i="7"/>
  <c r="D207" i="7"/>
  <c r="C208" i="7"/>
  <c r="D208" i="7"/>
  <c r="C209" i="7"/>
  <c r="D209" i="7"/>
  <c r="C210" i="7"/>
  <c r="D210" i="7"/>
  <c r="C211" i="7"/>
  <c r="D211" i="7"/>
  <c r="C212" i="7"/>
  <c r="D212" i="7"/>
  <c r="C213" i="7"/>
  <c r="D213" i="7"/>
  <c r="C214" i="7"/>
  <c r="D214" i="7"/>
  <c r="C215" i="7"/>
  <c r="D215" i="7"/>
  <c r="C216" i="7"/>
  <c r="D216" i="7"/>
  <c r="C217" i="7"/>
  <c r="D217" i="7"/>
  <c r="C218" i="7"/>
  <c r="D218" i="7"/>
  <c r="C219" i="7"/>
  <c r="D219" i="7"/>
  <c r="C220" i="7"/>
  <c r="D220" i="7"/>
  <c r="C221" i="7"/>
  <c r="D221" i="7"/>
  <c r="C222" i="7"/>
  <c r="D222" i="7"/>
  <c r="C223" i="7"/>
  <c r="D223" i="7"/>
  <c r="C224" i="7"/>
  <c r="D224" i="7"/>
  <c r="C225" i="7"/>
  <c r="D225" i="7"/>
  <c r="C226" i="7"/>
  <c r="D226" i="7"/>
  <c r="C227" i="7"/>
  <c r="D227" i="7"/>
  <c r="C228" i="7"/>
  <c r="D228" i="7"/>
  <c r="C229" i="7"/>
  <c r="D229" i="7"/>
  <c r="C230" i="7"/>
  <c r="D230" i="7"/>
  <c r="C231" i="7"/>
  <c r="D231" i="7"/>
  <c r="C232" i="7"/>
  <c r="D232" i="7"/>
  <c r="C233" i="7"/>
  <c r="D233" i="7"/>
  <c r="C234" i="7"/>
  <c r="D234" i="7"/>
  <c r="C235" i="7"/>
  <c r="D235" i="7"/>
  <c r="C236" i="7"/>
  <c r="D236" i="7"/>
  <c r="C237" i="7"/>
  <c r="D237" i="7"/>
  <c r="C238" i="7"/>
  <c r="D238" i="7"/>
  <c r="C239" i="7"/>
  <c r="D239" i="7"/>
  <c r="C240" i="7"/>
  <c r="D240" i="7"/>
  <c r="C241" i="7"/>
  <c r="D241" i="7"/>
  <c r="C242" i="7"/>
  <c r="D242" i="7"/>
  <c r="C243" i="7"/>
  <c r="D243" i="7"/>
  <c r="C244" i="7"/>
  <c r="D244" i="7"/>
  <c r="C245" i="7"/>
  <c r="D245" i="7"/>
  <c r="C246" i="7"/>
  <c r="D246" i="7"/>
  <c r="C247" i="7"/>
  <c r="D247" i="7"/>
  <c r="C248" i="7"/>
  <c r="D248" i="7"/>
  <c r="C249" i="7"/>
  <c r="D249" i="7"/>
  <c r="C250" i="7"/>
  <c r="D250" i="7"/>
  <c r="C251" i="7"/>
  <c r="D251" i="7"/>
  <c r="C252" i="7"/>
  <c r="D252" i="7"/>
  <c r="C253" i="7"/>
  <c r="D253" i="7"/>
  <c r="C254" i="7"/>
  <c r="D254" i="7"/>
  <c r="C255" i="7"/>
  <c r="D255" i="7"/>
  <c r="C256" i="7"/>
  <c r="D256" i="7"/>
  <c r="C257" i="7"/>
  <c r="D257" i="7"/>
  <c r="C258" i="7"/>
  <c r="D258" i="7"/>
  <c r="C259" i="7"/>
  <c r="D259" i="7"/>
  <c r="C260" i="7"/>
  <c r="D260" i="7"/>
  <c r="C261" i="7"/>
  <c r="D261" i="7"/>
  <c r="C262" i="7"/>
  <c r="D262" i="7"/>
  <c r="C263" i="7"/>
  <c r="D263" i="7"/>
  <c r="C264" i="7"/>
  <c r="D264" i="7"/>
  <c r="C265" i="7"/>
  <c r="D265" i="7"/>
  <c r="C266" i="7"/>
  <c r="D266" i="7"/>
  <c r="C267" i="7"/>
  <c r="D267" i="7"/>
  <c r="C268" i="7"/>
  <c r="D268" i="7"/>
  <c r="C269" i="7"/>
  <c r="D269" i="7"/>
  <c r="C270" i="7"/>
  <c r="D270" i="7"/>
  <c r="C271" i="7"/>
  <c r="D271" i="7"/>
  <c r="C272" i="7"/>
  <c r="D272" i="7"/>
  <c r="C273" i="7"/>
  <c r="D273" i="7"/>
  <c r="C274" i="7"/>
  <c r="D274" i="7"/>
  <c r="C275" i="7"/>
  <c r="D275" i="7"/>
  <c r="C276" i="7"/>
  <c r="D276" i="7"/>
  <c r="C277" i="7"/>
  <c r="D277" i="7"/>
  <c r="C278" i="7"/>
  <c r="D278" i="7"/>
  <c r="C279" i="7"/>
  <c r="D279" i="7"/>
  <c r="C280" i="7"/>
  <c r="D280" i="7"/>
  <c r="C281" i="7"/>
  <c r="D281" i="7"/>
  <c r="C282" i="7"/>
  <c r="D282" i="7"/>
  <c r="C283" i="7"/>
  <c r="D283" i="7"/>
  <c r="C284" i="7"/>
  <c r="D284" i="7"/>
  <c r="C285" i="7"/>
  <c r="D285" i="7"/>
  <c r="C286" i="7"/>
  <c r="D286" i="7"/>
  <c r="C287" i="7"/>
  <c r="D287" i="7"/>
  <c r="C288" i="7"/>
  <c r="D288" i="7"/>
  <c r="C289" i="7"/>
  <c r="D289" i="7"/>
  <c r="C290" i="7"/>
  <c r="D290" i="7"/>
  <c r="C291" i="7"/>
  <c r="D291" i="7"/>
  <c r="C292" i="7"/>
  <c r="D292" i="7"/>
  <c r="C293" i="7"/>
  <c r="D293" i="7"/>
  <c r="C294" i="7"/>
  <c r="D294" i="7"/>
  <c r="C295" i="7"/>
  <c r="D295" i="7"/>
  <c r="C296" i="7"/>
  <c r="D296" i="7"/>
  <c r="C297" i="7"/>
  <c r="D297" i="7"/>
  <c r="C298" i="7"/>
  <c r="D298" i="7"/>
  <c r="C299" i="7"/>
  <c r="D299" i="7"/>
  <c r="C300" i="7"/>
  <c r="D300" i="7"/>
  <c r="C301" i="7"/>
  <c r="D301" i="7"/>
  <c r="C302" i="7"/>
  <c r="D302" i="7"/>
  <c r="C303" i="7"/>
  <c r="D303" i="7"/>
  <c r="C304" i="7"/>
  <c r="D304" i="7"/>
  <c r="C305" i="7"/>
  <c r="D305" i="7"/>
  <c r="C306" i="7"/>
  <c r="D306" i="7"/>
  <c r="C307" i="7"/>
  <c r="D307" i="7"/>
  <c r="C308" i="7"/>
  <c r="D308" i="7"/>
  <c r="C309" i="7"/>
  <c r="D309" i="7"/>
  <c r="C310" i="7"/>
  <c r="D310" i="7"/>
  <c r="C311" i="7"/>
  <c r="D311" i="7"/>
  <c r="C312" i="7"/>
  <c r="D312" i="7"/>
  <c r="C313" i="7"/>
  <c r="D313" i="7"/>
  <c r="C314" i="7"/>
  <c r="D314" i="7"/>
  <c r="C315" i="7"/>
  <c r="D315" i="7"/>
  <c r="C316" i="7"/>
  <c r="D316" i="7"/>
  <c r="C317" i="7"/>
  <c r="D317" i="7"/>
  <c r="C318" i="7"/>
  <c r="D318" i="7"/>
  <c r="C319" i="7"/>
  <c r="D319" i="7"/>
  <c r="C320" i="7"/>
  <c r="D320" i="7"/>
  <c r="C321" i="7"/>
  <c r="D321" i="7"/>
  <c r="C322" i="7"/>
  <c r="D322" i="7"/>
  <c r="C323" i="7"/>
  <c r="D323" i="7"/>
  <c r="C324" i="7"/>
  <c r="D324" i="7"/>
  <c r="C325" i="7"/>
  <c r="D325" i="7"/>
  <c r="C326" i="7"/>
  <c r="D326" i="7"/>
  <c r="C327" i="7"/>
  <c r="D327" i="7"/>
  <c r="C328" i="7"/>
  <c r="D328" i="7"/>
  <c r="C329" i="7"/>
  <c r="D329" i="7"/>
  <c r="C330" i="7"/>
  <c r="D330" i="7"/>
  <c r="C331" i="7"/>
  <c r="D331" i="7"/>
  <c r="C332" i="7"/>
  <c r="D332" i="7"/>
  <c r="C333" i="7"/>
  <c r="D333" i="7"/>
  <c r="C334" i="7"/>
  <c r="D334" i="7"/>
  <c r="C335" i="7"/>
  <c r="D335" i="7"/>
  <c r="C336" i="7"/>
  <c r="D336" i="7"/>
  <c r="C337" i="7"/>
  <c r="D337" i="7"/>
  <c r="C338" i="7"/>
  <c r="D338" i="7"/>
  <c r="C339" i="7"/>
  <c r="D339" i="7"/>
  <c r="C340" i="7"/>
  <c r="D340" i="7"/>
  <c r="C341" i="7"/>
  <c r="D341" i="7"/>
  <c r="C342" i="7"/>
  <c r="D342" i="7"/>
  <c r="C343" i="7"/>
  <c r="D343" i="7"/>
  <c r="C344" i="7"/>
  <c r="D344" i="7"/>
  <c r="C345" i="7"/>
  <c r="D345" i="7"/>
  <c r="C346" i="7"/>
  <c r="D346" i="7"/>
  <c r="C347" i="7"/>
  <c r="D347" i="7"/>
  <c r="C348" i="7"/>
  <c r="D348" i="7"/>
  <c r="C349" i="7"/>
  <c r="D349" i="7"/>
  <c r="C350" i="7"/>
  <c r="D350" i="7"/>
  <c r="C351" i="7"/>
  <c r="D351" i="7"/>
  <c r="C352" i="7"/>
  <c r="D352" i="7"/>
  <c r="C353" i="7"/>
  <c r="D353" i="7"/>
  <c r="C354" i="7"/>
  <c r="D354" i="7"/>
  <c r="C355" i="7"/>
  <c r="D355" i="7"/>
  <c r="C356" i="7"/>
  <c r="D356" i="7"/>
  <c r="C357" i="7"/>
  <c r="D357" i="7"/>
  <c r="C358" i="7"/>
  <c r="D358" i="7"/>
  <c r="C359" i="7"/>
  <c r="D359" i="7"/>
  <c r="C360" i="7"/>
  <c r="D360" i="7"/>
  <c r="C361" i="7"/>
  <c r="D361" i="7"/>
  <c r="C362" i="7"/>
  <c r="D362" i="7"/>
  <c r="C363" i="7"/>
  <c r="D363" i="7"/>
  <c r="C364" i="7"/>
  <c r="D364" i="7"/>
  <c r="C365" i="7"/>
  <c r="D365" i="7"/>
  <c r="C366" i="7"/>
  <c r="D366" i="7"/>
  <c r="C367" i="7"/>
  <c r="D367" i="7"/>
  <c r="C368" i="7"/>
  <c r="D368" i="7"/>
  <c r="C369" i="7"/>
  <c r="D369" i="7"/>
  <c r="C370" i="7"/>
  <c r="D370" i="7"/>
  <c r="C371" i="7"/>
  <c r="D371" i="7"/>
  <c r="C372" i="7"/>
  <c r="D372" i="7"/>
  <c r="C373" i="7"/>
  <c r="D373" i="7"/>
  <c r="C374" i="7"/>
  <c r="D374" i="7"/>
  <c r="C375" i="7"/>
  <c r="D375" i="7"/>
  <c r="C376" i="7"/>
  <c r="D376" i="7"/>
  <c r="C377" i="7"/>
  <c r="D377" i="7"/>
  <c r="C378" i="7"/>
  <c r="D378" i="7"/>
  <c r="C379" i="7"/>
  <c r="D379" i="7"/>
  <c r="C380" i="7"/>
  <c r="D380" i="7"/>
  <c r="C381" i="7"/>
  <c r="D381" i="7"/>
  <c r="C382" i="7"/>
  <c r="D382" i="7"/>
  <c r="C383" i="7"/>
  <c r="D383" i="7"/>
  <c r="C384" i="7"/>
  <c r="D384" i="7"/>
  <c r="C385" i="7"/>
  <c r="D385" i="7"/>
  <c r="C386" i="7"/>
  <c r="D386" i="7"/>
  <c r="C387" i="7"/>
  <c r="D387" i="7"/>
  <c r="C388" i="7"/>
  <c r="D388" i="7"/>
  <c r="C389" i="7"/>
  <c r="D389" i="7"/>
  <c r="C390" i="7"/>
  <c r="D390" i="7"/>
  <c r="C391" i="7"/>
  <c r="D391" i="7"/>
  <c r="C392" i="7"/>
  <c r="D392" i="7"/>
  <c r="C393" i="7"/>
  <c r="D393" i="7"/>
  <c r="C394" i="7"/>
  <c r="D394" i="7"/>
  <c r="C395" i="7"/>
  <c r="D395" i="7"/>
  <c r="C396" i="7"/>
  <c r="D396" i="7"/>
  <c r="C397" i="7"/>
  <c r="D397" i="7"/>
  <c r="C398" i="7"/>
  <c r="D398" i="7"/>
  <c r="C399" i="7"/>
  <c r="D399" i="7"/>
  <c r="C400" i="7"/>
  <c r="D400" i="7"/>
  <c r="C401" i="7"/>
  <c r="D401" i="7"/>
  <c r="C402" i="7"/>
  <c r="D402" i="7"/>
  <c r="C403" i="7"/>
  <c r="D403" i="7"/>
  <c r="C404" i="7"/>
  <c r="D404" i="7"/>
  <c r="C405" i="7"/>
  <c r="D405" i="7"/>
  <c r="C406" i="7"/>
  <c r="D406" i="7"/>
  <c r="C407" i="7"/>
  <c r="D407" i="7"/>
  <c r="C408" i="7"/>
  <c r="D408" i="7"/>
  <c r="C409" i="7"/>
  <c r="D409" i="7"/>
  <c r="C410" i="7"/>
  <c r="D410" i="7"/>
  <c r="C411" i="7"/>
  <c r="D411" i="7"/>
  <c r="C412" i="7"/>
  <c r="D412" i="7"/>
  <c r="C413" i="7"/>
  <c r="D413" i="7"/>
  <c r="C414" i="7"/>
  <c r="D414" i="7"/>
  <c r="C415" i="7"/>
  <c r="D415" i="7"/>
  <c r="C416" i="7"/>
  <c r="D416" i="7"/>
  <c r="C417" i="7"/>
  <c r="D417" i="7"/>
  <c r="C418" i="7"/>
  <c r="D418" i="7"/>
  <c r="C419" i="7"/>
  <c r="D419" i="7"/>
  <c r="C420" i="7"/>
  <c r="D420" i="7"/>
  <c r="C421" i="7"/>
  <c r="D421" i="7"/>
  <c r="C422" i="7"/>
  <c r="D422" i="7"/>
  <c r="C423" i="7"/>
  <c r="D423" i="7"/>
  <c r="C424" i="7"/>
  <c r="D424" i="7"/>
  <c r="C425" i="7"/>
  <c r="D425" i="7"/>
  <c r="C426" i="7"/>
  <c r="D426" i="7"/>
  <c r="C427" i="7"/>
  <c r="D427" i="7"/>
  <c r="C428" i="7"/>
  <c r="D428" i="7"/>
  <c r="C429" i="7"/>
  <c r="D429" i="7"/>
  <c r="C430" i="7"/>
  <c r="D430" i="7"/>
  <c r="C431" i="7"/>
  <c r="D431" i="7"/>
  <c r="C432" i="7"/>
  <c r="D432" i="7"/>
  <c r="C433" i="7"/>
  <c r="D433" i="7"/>
  <c r="C434" i="7"/>
  <c r="D434" i="7"/>
  <c r="C435" i="7"/>
  <c r="D435" i="7"/>
  <c r="C436" i="7"/>
  <c r="D436" i="7"/>
  <c r="C437" i="7"/>
  <c r="D437" i="7"/>
  <c r="C438" i="7"/>
  <c r="D438" i="7"/>
  <c r="C439" i="7"/>
  <c r="D439" i="7"/>
  <c r="C440" i="7"/>
  <c r="D440" i="7"/>
  <c r="C441" i="7"/>
  <c r="D441" i="7"/>
  <c r="C442" i="7"/>
  <c r="D442" i="7"/>
  <c r="C443" i="7"/>
  <c r="D443" i="7"/>
  <c r="C444" i="7"/>
  <c r="D444" i="7"/>
  <c r="C445" i="7"/>
  <c r="D445" i="7"/>
  <c r="C446" i="7"/>
  <c r="D446" i="7"/>
  <c r="C447" i="7"/>
  <c r="D447" i="7"/>
  <c r="C448" i="7"/>
  <c r="D448" i="7"/>
  <c r="C449" i="7"/>
  <c r="D449" i="7"/>
  <c r="C450" i="7"/>
  <c r="D450" i="7"/>
  <c r="C451" i="7"/>
  <c r="D451" i="7"/>
  <c r="C452" i="7"/>
  <c r="D452" i="7"/>
  <c r="C453" i="7"/>
  <c r="D453" i="7"/>
  <c r="C454" i="7"/>
  <c r="D454" i="7"/>
  <c r="C455" i="7"/>
  <c r="D455" i="7"/>
  <c r="C456" i="7"/>
  <c r="D456" i="7"/>
  <c r="C457" i="7"/>
  <c r="D457" i="7"/>
  <c r="C458" i="7"/>
  <c r="D458" i="7"/>
  <c r="C459" i="7"/>
  <c r="D459" i="7"/>
  <c r="C460" i="7"/>
  <c r="D460" i="7"/>
  <c r="C461" i="7"/>
  <c r="D461" i="7"/>
  <c r="C462" i="7"/>
  <c r="D462" i="7"/>
  <c r="C463" i="7"/>
  <c r="D463" i="7"/>
  <c r="C464" i="7"/>
  <c r="D464" i="7"/>
  <c r="C465" i="7"/>
  <c r="D465" i="7"/>
  <c r="C466" i="7"/>
  <c r="D466" i="7"/>
  <c r="C467" i="7"/>
  <c r="D467" i="7"/>
  <c r="C468" i="7"/>
  <c r="D468" i="7"/>
  <c r="C469" i="7"/>
  <c r="D469" i="7"/>
  <c r="C470" i="7"/>
  <c r="D470" i="7"/>
  <c r="C471" i="7"/>
  <c r="D471" i="7"/>
  <c r="C472" i="7"/>
  <c r="D472" i="7"/>
  <c r="C473" i="7"/>
  <c r="D473" i="7"/>
  <c r="C474" i="7"/>
  <c r="D474" i="7"/>
  <c r="C475" i="7"/>
  <c r="D475" i="7"/>
  <c r="C476" i="7"/>
  <c r="D476" i="7"/>
  <c r="C477" i="7"/>
  <c r="D477" i="7"/>
  <c r="C478" i="7"/>
  <c r="D478" i="7"/>
  <c r="C479" i="7"/>
  <c r="D479" i="7"/>
  <c r="C480" i="7"/>
  <c r="D480" i="7"/>
  <c r="C481" i="7"/>
  <c r="D481" i="7"/>
  <c r="C482" i="7"/>
  <c r="D482" i="7"/>
  <c r="C483" i="7"/>
  <c r="D483" i="7"/>
  <c r="C484" i="7"/>
  <c r="D484" i="7"/>
  <c r="C485" i="7"/>
  <c r="D485" i="7"/>
  <c r="C486" i="7"/>
  <c r="D486" i="7"/>
  <c r="C487" i="7"/>
  <c r="D487" i="7"/>
  <c r="C488" i="7"/>
  <c r="D488" i="7"/>
  <c r="C489" i="7"/>
  <c r="D489" i="7"/>
  <c r="C490" i="7"/>
  <c r="D490" i="7"/>
  <c r="C491" i="7"/>
  <c r="D491" i="7"/>
  <c r="C492" i="7"/>
  <c r="D492" i="7"/>
  <c r="C493" i="7"/>
  <c r="D493" i="7"/>
  <c r="C494" i="7"/>
  <c r="D494" i="7"/>
  <c r="C495" i="7"/>
  <c r="D495" i="7"/>
  <c r="C496" i="7"/>
  <c r="D496" i="7"/>
  <c r="C497" i="7"/>
  <c r="D497" i="7"/>
  <c r="C498" i="7"/>
  <c r="D498" i="7"/>
  <c r="C499" i="7"/>
  <c r="D499" i="7"/>
  <c r="C500" i="7"/>
  <c r="D500" i="7"/>
  <c r="C501" i="7"/>
  <c r="D501" i="7"/>
  <c r="C502" i="7"/>
  <c r="D502" i="7"/>
  <c r="C503" i="7"/>
  <c r="D503" i="7"/>
  <c r="C504" i="7"/>
  <c r="D504" i="7"/>
  <c r="C505" i="7"/>
  <c r="D505" i="7"/>
  <c r="C506" i="7"/>
  <c r="D506" i="7"/>
  <c r="C507" i="7"/>
  <c r="D507" i="7"/>
  <c r="C508" i="7"/>
  <c r="D508" i="7"/>
  <c r="C509" i="7"/>
  <c r="D509" i="7"/>
  <c r="C510" i="7"/>
  <c r="D510" i="7"/>
  <c r="D10" i="7"/>
  <c r="C10" i="7"/>
  <c r="C511" i="7" l="1"/>
  <c r="C512" i="7" s="1"/>
  <c r="C513" i="7" s="1"/>
  <c r="C514" i="7" s="1"/>
  <c r="C11" i="8"/>
  <c r="D11" i="8"/>
  <c r="C12" i="8"/>
  <c r="D12" i="8"/>
  <c r="C13" i="8"/>
  <c r="D13" i="8"/>
  <c r="C14" i="8"/>
  <c r="D14" i="8"/>
  <c r="C15" i="8"/>
  <c r="D15" i="8"/>
  <c r="C16" i="8"/>
  <c r="D16" i="8"/>
  <c r="C17" i="8"/>
  <c r="D17" i="8"/>
  <c r="C18" i="8"/>
  <c r="D18" i="8"/>
  <c r="C19" i="8"/>
  <c r="D19" i="8"/>
  <c r="C20" i="8"/>
  <c r="D20" i="8"/>
  <c r="C21" i="8"/>
  <c r="D21" i="8"/>
  <c r="C22" i="8"/>
  <c r="D22" i="8"/>
  <c r="C23" i="8"/>
  <c r="D23" i="8"/>
  <c r="C24" i="8"/>
  <c r="D24" i="8"/>
  <c r="C25" i="8"/>
  <c r="D25" i="8"/>
  <c r="C26" i="8"/>
  <c r="D26" i="8"/>
  <c r="C27" i="8"/>
  <c r="D27" i="8"/>
  <c r="C28" i="8"/>
  <c r="D28" i="8"/>
  <c r="C29" i="8"/>
  <c r="D29" i="8"/>
  <c r="C30" i="8"/>
  <c r="D30" i="8"/>
  <c r="C31" i="8"/>
  <c r="D31" i="8"/>
  <c r="C32" i="8"/>
  <c r="D32" i="8"/>
  <c r="C33" i="8"/>
  <c r="D33" i="8"/>
  <c r="C34" i="8"/>
  <c r="D34" i="8"/>
  <c r="C35" i="8"/>
  <c r="D35" i="8"/>
  <c r="C36" i="8"/>
  <c r="D36" i="8"/>
  <c r="C37" i="8"/>
  <c r="D37" i="8"/>
  <c r="C38" i="8"/>
  <c r="D38" i="8"/>
  <c r="C39" i="8"/>
  <c r="D39" i="8"/>
  <c r="C40" i="8"/>
  <c r="D40" i="8"/>
  <c r="C41" i="8"/>
  <c r="D41" i="8"/>
  <c r="C42" i="8"/>
  <c r="D42" i="8"/>
  <c r="C43" i="8"/>
  <c r="D43" i="8"/>
  <c r="C44" i="8"/>
  <c r="D44" i="8"/>
  <c r="C45" i="8"/>
  <c r="D45" i="8"/>
  <c r="C46" i="8"/>
  <c r="D46" i="8"/>
  <c r="C47" i="8"/>
  <c r="D47" i="8"/>
  <c r="C48" i="8"/>
  <c r="D48" i="8"/>
  <c r="C49" i="8"/>
  <c r="D49" i="8"/>
  <c r="C50" i="8"/>
  <c r="D50" i="8"/>
  <c r="C51" i="8"/>
  <c r="D51" i="8"/>
  <c r="C52" i="8"/>
  <c r="D52" i="8"/>
  <c r="C53" i="8"/>
  <c r="D53" i="8"/>
  <c r="C54" i="8"/>
  <c r="D54" i="8"/>
  <c r="C55" i="8"/>
  <c r="D55" i="8"/>
  <c r="C56" i="8"/>
  <c r="D56" i="8"/>
  <c r="C57" i="8"/>
  <c r="D57" i="8"/>
  <c r="C58" i="8"/>
  <c r="D58" i="8"/>
  <c r="C59" i="8"/>
  <c r="D59" i="8"/>
  <c r="C60" i="8"/>
  <c r="D60" i="8"/>
  <c r="C61" i="8"/>
  <c r="D61" i="8"/>
  <c r="C62" i="8"/>
  <c r="D62" i="8"/>
  <c r="C63" i="8"/>
  <c r="D63" i="8"/>
  <c r="C64" i="8"/>
  <c r="D64" i="8"/>
  <c r="C65" i="8"/>
  <c r="D65" i="8"/>
  <c r="C66" i="8"/>
  <c r="D66" i="8"/>
  <c r="C67" i="8"/>
  <c r="D67" i="8"/>
  <c r="C68" i="8"/>
  <c r="D68" i="8"/>
  <c r="C69" i="8"/>
  <c r="D69" i="8"/>
  <c r="C70" i="8"/>
  <c r="D70" i="8"/>
  <c r="C71" i="8"/>
  <c r="D71" i="8"/>
  <c r="C72" i="8"/>
  <c r="D72" i="8"/>
  <c r="C73" i="8"/>
  <c r="D73" i="8"/>
  <c r="C74" i="8"/>
  <c r="D74" i="8"/>
  <c r="C75" i="8"/>
  <c r="D75" i="8"/>
  <c r="C76" i="8"/>
  <c r="D76" i="8"/>
  <c r="C77" i="8"/>
  <c r="D77" i="8"/>
  <c r="C78" i="8"/>
  <c r="D78" i="8"/>
  <c r="C79" i="8"/>
  <c r="D79" i="8"/>
  <c r="C80" i="8"/>
  <c r="D80" i="8"/>
  <c r="C81" i="8"/>
  <c r="D81" i="8"/>
  <c r="C82" i="8"/>
  <c r="D82" i="8"/>
  <c r="C83" i="8"/>
  <c r="D83" i="8"/>
  <c r="C84" i="8"/>
  <c r="D84" i="8"/>
  <c r="C85" i="8"/>
  <c r="D85" i="8"/>
  <c r="C86" i="8"/>
  <c r="D86" i="8"/>
  <c r="C87" i="8"/>
  <c r="D87" i="8"/>
  <c r="C88" i="8"/>
  <c r="D88" i="8"/>
  <c r="C89" i="8"/>
  <c r="D89" i="8"/>
  <c r="C90" i="8"/>
  <c r="D90" i="8"/>
  <c r="C91" i="8"/>
  <c r="D91" i="8"/>
  <c r="C92" i="8"/>
  <c r="D92" i="8"/>
  <c r="C93" i="8"/>
  <c r="D93" i="8"/>
  <c r="C94" i="8"/>
  <c r="D94" i="8"/>
  <c r="C95" i="8"/>
  <c r="D95" i="8"/>
  <c r="C96" i="8"/>
  <c r="D96" i="8"/>
  <c r="C97" i="8"/>
  <c r="D97" i="8"/>
  <c r="C98" i="8"/>
  <c r="D98" i="8"/>
  <c r="C99" i="8"/>
  <c r="D99" i="8"/>
  <c r="C100" i="8"/>
  <c r="D100" i="8"/>
  <c r="C101" i="8"/>
  <c r="D101" i="8"/>
  <c r="C102" i="8"/>
  <c r="D102" i="8"/>
  <c r="C103" i="8"/>
  <c r="D103" i="8"/>
  <c r="C104" i="8"/>
  <c r="D104" i="8"/>
  <c r="C105" i="8"/>
  <c r="D105" i="8"/>
  <c r="C106" i="8"/>
  <c r="D106" i="8"/>
  <c r="C107" i="8"/>
  <c r="D107" i="8"/>
  <c r="C108" i="8"/>
  <c r="D108" i="8"/>
  <c r="C109" i="8"/>
  <c r="D109" i="8"/>
  <c r="C110" i="8"/>
  <c r="D110" i="8"/>
  <c r="D10" i="8"/>
  <c r="C10" i="8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" i="4"/>
  <c r="I10" i="2"/>
  <c r="K10" i="2"/>
  <c r="E10" i="2"/>
  <c r="D10" i="2"/>
  <c r="C10" i="2"/>
  <c r="D511" i="7" l="1"/>
  <c r="J10" i="2"/>
  <c r="D514" i="7" l="1"/>
  <c r="D512" i="7"/>
  <c r="D513" i="7" s="1"/>
</calcChain>
</file>

<file path=xl/sharedStrings.xml><?xml version="1.0" encoding="utf-8"?>
<sst xmlns="http://schemas.openxmlformats.org/spreadsheetml/2006/main" count="59" uniqueCount="31">
  <si>
    <t>n</t>
    <phoneticPr fontId="1"/>
  </si>
  <si>
    <t>cos</t>
    <phoneticPr fontId="1"/>
  </si>
  <si>
    <t>sin</t>
    <phoneticPr fontId="1"/>
  </si>
  <si>
    <t>周期</t>
    <rPh sb="0" eb="2">
      <t>シュウキ</t>
    </rPh>
    <phoneticPr fontId="1"/>
  </si>
  <si>
    <t>n</t>
    <phoneticPr fontId="1"/>
  </si>
  <si>
    <t>r</t>
    <phoneticPr fontId="1"/>
  </si>
  <si>
    <t>x</t>
    <phoneticPr fontId="1"/>
  </si>
  <si>
    <t>y</t>
    <phoneticPr fontId="1"/>
  </si>
  <si>
    <t>アルキメデス螺旋</t>
    <rPh sb="6" eb="8">
      <t>ラセン</t>
    </rPh>
    <phoneticPr fontId="1"/>
  </si>
  <si>
    <t>ベルヌーイ螺旋</t>
    <rPh sb="5" eb="7">
      <t>ラセン</t>
    </rPh>
    <phoneticPr fontId="1"/>
  </si>
  <si>
    <t>x</t>
    <phoneticPr fontId="1"/>
  </si>
  <si>
    <t>y</t>
    <phoneticPr fontId="1"/>
  </si>
  <si>
    <t>R</t>
    <phoneticPr fontId="1"/>
  </si>
  <si>
    <t>エピサイクロイド</t>
    <phoneticPr fontId="1"/>
  </si>
  <si>
    <t>ハイポサイクロイド</t>
    <phoneticPr fontId="1"/>
  </si>
  <si>
    <t>a</t>
    <phoneticPr fontId="1"/>
  </si>
  <si>
    <t>b</t>
    <phoneticPr fontId="1"/>
  </si>
  <si>
    <t>N</t>
    <phoneticPr fontId="1"/>
  </si>
  <si>
    <t>R</t>
    <phoneticPr fontId="1"/>
  </si>
  <si>
    <t>r</t>
    <phoneticPr fontId="1"/>
  </si>
  <si>
    <t>d</t>
    <phoneticPr fontId="1"/>
  </si>
  <si>
    <t>N</t>
    <phoneticPr fontId="1"/>
  </si>
  <si>
    <t>a</t>
    <phoneticPr fontId="1"/>
  </si>
  <si>
    <t>b</t>
    <phoneticPr fontId="1"/>
  </si>
  <si>
    <t>M</t>
    <phoneticPr fontId="1"/>
  </si>
  <si>
    <t>大きい円</t>
    <rPh sb="0" eb="1">
      <t>オオ</t>
    </rPh>
    <rPh sb="3" eb="4">
      <t>エン</t>
    </rPh>
    <phoneticPr fontId="1"/>
  </si>
  <si>
    <t>小さい円</t>
    <rPh sb="0" eb="1">
      <t>チイ</t>
    </rPh>
    <rPh sb="3" eb="4">
      <t>エン</t>
    </rPh>
    <phoneticPr fontId="1"/>
  </si>
  <si>
    <t>緩やかさ</t>
    <rPh sb="0" eb="1">
      <t>ユル</t>
    </rPh>
    <phoneticPr fontId="1"/>
  </si>
  <si>
    <t>糸の周期</t>
    <rPh sb="0" eb="1">
      <t>イト</t>
    </rPh>
    <rPh sb="2" eb="4">
      <t>シュウキ</t>
    </rPh>
    <phoneticPr fontId="1"/>
  </si>
  <si>
    <t>リサージュの周期</t>
    <rPh sb="6" eb="8">
      <t>シュウキ</t>
    </rPh>
    <phoneticPr fontId="1"/>
  </si>
  <si>
    <t>点の個数</t>
    <rPh sb="0" eb="1">
      <t>テン</t>
    </rPh>
    <rPh sb="2" eb="4">
      <t>コスウ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</si>
</sst>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'【解答】演習問題１（円上の糸掛け） '!$D$9</c:f>
              <c:strCache>
                <c:ptCount val="1"/>
                <c:pt idx="0">
                  <c:v>sin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'【解答】演習問題１（円上の糸掛け） '!$C$10:$C$110</c:f>
              <c:numCache>
                <c:formatCode>General</c:formatCode>
                <c:ptCount val="101"/>
                <c:pt idx="0">
                  <c:v>1</c:v>
                </c:pt>
                <c:pt idx="1">
                  <c:v>-0.36812455268467775</c:v>
                </c:pt>
                <c:pt idx="2">
                  <c:v>-0.72896862742141177</c:v>
                </c:pt>
                <c:pt idx="3">
                  <c:v>0.90482705246601935</c:v>
                </c:pt>
                <c:pt idx="4">
                  <c:v>6.2790519529314207E-2</c:v>
                </c:pt>
                <c:pt idx="5">
                  <c:v>-0.95105651629515364</c:v>
                </c:pt>
                <c:pt idx="6">
                  <c:v>0.63742398974868908</c:v>
                </c:pt>
                <c:pt idx="7">
                  <c:v>0.48175367410171638</c:v>
                </c:pt>
                <c:pt idx="8">
                  <c:v>-0.99211470131447765</c:v>
                </c:pt>
                <c:pt idx="9">
                  <c:v>0.24868988716485446</c:v>
                </c:pt>
                <c:pt idx="10">
                  <c:v>0.8090169943749479</c:v>
                </c:pt>
                <c:pt idx="11">
                  <c:v>-0.84432792550201252</c:v>
                </c:pt>
                <c:pt idx="12">
                  <c:v>-0.18738131458572621</c:v>
                </c:pt>
                <c:pt idx="13">
                  <c:v>0.98228725072868839</c:v>
                </c:pt>
                <c:pt idx="14">
                  <c:v>-0.53582679497899455</c:v>
                </c:pt>
                <c:pt idx="15">
                  <c:v>-0.58778525229247547</c:v>
                </c:pt>
                <c:pt idx="16">
                  <c:v>0.9685831611286303</c:v>
                </c:pt>
                <c:pt idx="17">
                  <c:v>-0.12533323356430401</c:v>
                </c:pt>
                <c:pt idx="18">
                  <c:v>-0.87630668004386392</c:v>
                </c:pt>
                <c:pt idx="19">
                  <c:v>0.77051324277578859</c:v>
                </c:pt>
                <c:pt idx="20">
                  <c:v>0.30901699437494889</c:v>
                </c:pt>
                <c:pt idx="21">
                  <c:v>-0.99802672842827167</c:v>
                </c:pt>
                <c:pt idx="22">
                  <c:v>0.42577929156506406</c:v>
                </c:pt>
                <c:pt idx="23">
                  <c:v>0.68454710592869072</c:v>
                </c:pt>
                <c:pt idx="24">
                  <c:v>-0.92977648588825024</c:v>
                </c:pt>
                <c:pt idx="25">
                  <c:v>-3.6753369445086115E-15</c:v>
                </c:pt>
                <c:pt idx="26">
                  <c:v>0.92977648588825035</c:v>
                </c:pt>
                <c:pt idx="27">
                  <c:v>-0.6845471059286905</c:v>
                </c:pt>
                <c:pt idx="28">
                  <c:v>-0.42577929156507716</c:v>
                </c:pt>
                <c:pt idx="29">
                  <c:v>0.99802672842827167</c:v>
                </c:pt>
                <c:pt idx="30">
                  <c:v>-0.3090169943749419</c:v>
                </c:pt>
                <c:pt idx="31">
                  <c:v>-0.7705132427757887</c:v>
                </c:pt>
                <c:pt idx="32">
                  <c:v>0.87630668004386036</c:v>
                </c:pt>
                <c:pt idx="33">
                  <c:v>0.12533323356430426</c:v>
                </c:pt>
                <c:pt idx="34">
                  <c:v>-0.96858316112863119</c:v>
                </c:pt>
                <c:pt idx="35">
                  <c:v>0.58778525229246092</c:v>
                </c:pt>
                <c:pt idx="36">
                  <c:v>0.53582679497899777</c:v>
                </c:pt>
                <c:pt idx="37">
                  <c:v>-0.98228725072868839</c:v>
                </c:pt>
                <c:pt idx="38">
                  <c:v>0.18738131458572249</c:v>
                </c:pt>
                <c:pt idx="39">
                  <c:v>0.84432792550201652</c:v>
                </c:pt>
                <c:pt idx="40">
                  <c:v>-0.80901699437494567</c:v>
                </c:pt>
                <c:pt idx="41">
                  <c:v>-0.24868988716485815</c:v>
                </c:pt>
                <c:pt idx="42">
                  <c:v>0.99211470131447832</c:v>
                </c:pt>
                <c:pt idx="43">
                  <c:v>-0.48175367410171149</c:v>
                </c:pt>
                <c:pt idx="44">
                  <c:v>-0.63742398974870429</c:v>
                </c:pt>
                <c:pt idx="45">
                  <c:v>0.95105651629515198</c:v>
                </c:pt>
                <c:pt idx="46">
                  <c:v>-6.2790519529307767E-2</c:v>
                </c:pt>
                <c:pt idx="47">
                  <c:v>-0.90482705246601602</c:v>
                </c:pt>
                <c:pt idx="48">
                  <c:v>0.72896862742140711</c:v>
                </c:pt>
                <c:pt idx="49">
                  <c:v>0.36812455268468441</c:v>
                </c:pt>
                <c:pt idx="50">
                  <c:v>-1</c:v>
                </c:pt>
                <c:pt idx="51">
                  <c:v>0.36812455268468391</c:v>
                </c:pt>
                <c:pt idx="52">
                  <c:v>0.72896862742140744</c:v>
                </c:pt>
                <c:pt idx="53">
                  <c:v>-0.9048270524660158</c:v>
                </c:pt>
                <c:pt idx="54">
                  <c:v>-6.2790519529308253E-2</c:v>
                </c:pt>
                <c:pt idx="55">
                  <c:v>0.95105651629515209</c:v>
                </c:pt>
                <c:pt idx="56">
                  <c:v>-0.63742398974868208</c:v>
                </c:pt>
                <c:pt idx="57">
                  <c:v>-0.48175367410172437</c:v>
                </c:pt>
                <c:pt idx="58">
                  <c:v>0.99211470131447821</c:v>
                </c:pt>
                <c:pt idx="59">
                  <c:v>-0.24868988716484391</c:v>
                </c:pt>
                <c:pt idx="60">
                  <c:v>-0.80901699437495433</c:v>
                </c:pt>
                <c:pt idx="61">
                  <c:v>0.84432792550200864</c:v>
                </c:pt>
                <c:pt idx="62">
                  <c:v>0.18738131458572296</c:v>
                </c:pt>
                <c:pt idx="63">
                  <c:v>-0.9822872507286885</c:v>
                </c:pt>
                <c:pt idx="64">
                  <c:v>0.53582679497898533</c:v>
                </c:pt>
                <c:pt idx="65">
                  <c:v>0.5877852522924728</c:v>
                </c:pt>
                <c:pt idx="66">
                  <c:v>-0.96858316112863108</c:v>
                </c:pt>
                <c:pt idx="67">
                  <c:v>0.12533323356428969</c:v>
                </c:pt>
                <c:pt idx="68">
                  <c:v>0.87630668004386403</c:v>
                </c:pt>
                <c:pt idx="69">
                  <c:v>-0.77051324277577937</c:v>
                </c:pt>
                <c:pt idx="70">
                  <c:v>-0.30901699437497615</c:v>
                </c:pt>
                <c:pt idx="71">
                  <c:v>0.99802672842827078</c:v>
                </c:pt>
                <c:pt idx="72">
                  <c:v>-0.42577929156507027</c:v>
                </c:pt>
                <c:pt idx="73">
                  <c:v>-0.68454710592870127</c:v>
                </c:pt>
                <c:pt idx="74">
                  <c:v>0.92977648588825013</c:v>
                </c:pt>
                <c:pt idx="75">
                  <c:v>1.8131438191126836E-14</c:v>
                </c:pt>
                <c:pt idx="76">
                  <c:v>-0.92977648588825301</c:v>
                </c:pt>
                <c:pt idx="77">
                  <c:v>0.6845471059286955</c:v>
                </c:pt>
                <c:pt idx="78">
                  <c:v>0.42577929156507738</c:v>
                </c:pt>
                <c:pt idx="79">
                  <c:v>-0.99802672842827211</c:v>
                </c:pt>
                <c:pt idx="80">
                  <c:v>0.30901699437494162</c:v>
                </c:pt>
                <c:pt idx="81">
                  <c:v>0.77051324277580246</c:v>
                </c:pt>
                <c:pt idx="82">
                  <c:v>-0.87630668004386025</c:v>
                </c:pt>
                <c:pt idx="83">
                  <c:v>-0.12533323356429746</c:v>
                </c:pt>
                <c:pt idx="84">
                  <c:v>0.96858316112863307</c:v>
                </c:pt>
                <c:pt idx="85">
                  <c:v>-0.58778525229245493</c:v>
                </c:pt>
                <c:pt idx="86">
                  <c:v>-0.53582679497900398</c:v>
                </c:pt>
                <c:pt idx="87">
                  <c:v>0.98228725072868428</c:v>
                </c:pt>
                <c:pt idx="88">
                  <c:v>-0.18738131458568735</c:v>
                </c:pt>
                <c:pt idx="89">
                  <c:v>-0.84432792550201285</c:v>
                </c:pt>
                <c:pt idx="90">
                  <c:v>0.80901699437494135</c:v>
                </c:pt>
                <c:pt idx="91">
                  <c:v>0.24868988716485149</c:v>
                </c:pt>
                <c:pt idx="92">
                  <c:v>-0.99211470131447921</c:v>
                </c:pt>
                <c:pt idx="93">
                  <c:v>0.48175367410169256</c:v>
                </c:pt>
                <c:pt idx="94">
                  <c:v>0.6374239897486772</c:v>
                </c:pt>
                <c:pt idx="95">
                  <c:v>-0.95105651629515409</c:v>
                </c:pt>
                <c:pt idx="96">
                  <c:v>6.2790519529300426E-2</c:v>
                </c:pt>
                <c:pt idx="97">
                  <c:v>0.90482705246601913</c:v>
                </c:pt>
                <c:pt idx="98">
                  <c:v>-0.728968627421402</c:v>
                </c:pt>
                <c:pt idx="99">
                  <c:v>-0.36812455268467803</c:v>
                </c:pt>
                <c:pt idx="100">
                  <c:v>1</c:v>
                </c:pt>
              </c:numCache>
            </c:numRef>
          </c:xVal>
          <c:yVal>
            <c:numRef>
              <c:f>'【解答】演習問題１（円上の糸掛け） 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0.92977648588825146</c:v>
                </c:pt>
                <c:pt idx="2">
                  <c:v>-0.68454710592868839</c:v>
                </c:pt>
                <c:pt idx="3">
                  <c:v>-0.42577929156507299</c:v>
                </c:pt>
                <c:pt idx="4">
                  <c:v>0.99802672842827156</c:v>
                </c:pt>
                <c:pt idx="5">
                  <c:v>-0.30901699437494706</c:v>
                </c:pt>
                <c:pt idx="6">
                  <c:v>-0.7705132427757897</c:v>
                </c:pt>
                <c:pt idx="7">
                  <c:v>0.87630668004386303</c:v>
                </c:pt>
                <c:pt idx="8">
                  <c:v>0.1253332335643059</c:v>
                </c:pt>
                <c:pt idx="9">
                  <c:v>-0.96858316112863119</c:v>
                </c:pt>
                <c:pt idx="10">
                  <c:v>0.58778525229247247</c:v>
                </c:pt>
                <c:pt idx="11">
                  <c:v>0.53582679497900065</c:v>
                </c:pt>
                <c:pt idx="12">
                  <c:v>-0.98228725072868839</c:v>
                </c:pt>
                <c:pt idx="13">
                  <c:v>0.1873813145857261</c:v>
                </c:pt>
                <c:pt idx="14">
                  <c:v>0.84432792550201641</c:v>
                </c:pt>
                <c:pt idx="15">
                  <c:v>-0.80901699437494567</c:v>
                </c:pt>
                <c:pt idx="16">
                  <c:v>-0.24868988716485804</c:v>
                </c:pt>
                <c:pt idx="17">
                  <c:v>0.99211470131447788</c:v>
                </c:pt>
                <c:pt idx="18">
                  <c:v>-0.48175367410171471</c:v>
                </c:pt>
                <c:pt idx="19">
                  <c:v>-0.63742398974869052</c:v>
                </c:pt>
                <c:pt idx="20">
                  <c:v>0.95105651629515309</c:v>
                </c:pt>
                <c:pt idx="21">
                  <c:v>-6.2790519529311431E-2</c:v>
                </c:pt>
                <c:pt idx="22">
                  <c:v>-0.90482705246602357</c:v>
                </c:pt>
                <c:pt idx="23">
                  <c:v>0.72896862742140955</c:v>
                </c:pt>
                <c:pt idx="24">
                  <c:v>0.36812455268468097</c:v>
                </c:pt>
                <c:pt idx="25">
                  <c:v>-1</c:v>
                </c:pt>
                <c:pt idx="26">
                  <c:v>0.36812455268468075</c:v>
                </c:pt>
                <c:pt idx="27">
                  <c:v>0.72896862742140978</c:v>
                </c:pt>
                <c:pt idx="28">
                  <c:v>-0.90482705246601747</c:v>
                </c:pt>
                <c:pt idx="29">
                  <c:v>-6.2790519529311681E-2</c:v>
                </c:pt>
                <c:pt idx="30">
                  <c:v>0.95105651629515542</c:v>
                </c:pt>
                <c:pt idx="31">
                  <c:v>-0.63742398974869041</c:v>
                </c:pt>
                <c:pt idx="32">
                  <c:v>-0.48175367410172115</c:v>
                </c:pt>
                <c:pt idx="33">
                  <c:v>0.99211470131447788</c:v>
                </c:pt>
                <c:pt idx="34">
                  <c:v>-0.24868988716485435</c:v>
                </c:pt>
                <c:pt idx="35">
                  <c:v>-0.80901699437495633</c:v>
                </c:pt>
                <c:pt idx="36">
                  <c:v>0.84432792550201441</c:v>
                </c:pt>
                <c:pt idx="37">
                  <c:v>0.18738131458572635</c:v>
                </c:pt>
                <c:pt idx="38">
                  <c:v>-0.98228725072868905</c:v>
                </c:pt>
                <c:pt idx="39">
                  <c:v>0.53582679497899444</c:v>
                </c:pt>
                <c:pt idx="40">
                  <c:v>0.58778525229247558</c:v>
                </c:pt>
                <c:pt idx="41">
                  <c:v>-0.9685831611286303</c:v>
                </c:pt>
                <c:pt idx="42">
                  <c:v>0.12533323356430037</c:v>
                </c:pt>
                <c:pt idx="43">
                  <c:v>0.87630668004386569</c:v>
                </c:pt>
                <c:pt idx="44">
                  <c:v>-0.77051324277577715</c:v>
                </c:pt>
                <c:pt idx="45">
                  <c:v>-0.30901699437495239</c:v>
                </c:pt>
                <c:pt idx="46">
                  <c:v>0.99802672842827189</c:v>
                </c:pt>
                <c:pt idx="47">
                  <c:v>-0.42577929156508004</c:v>
                </c:pt>
                <c:pt idx="48">
                  <c:v>-0.68454710592869339</c:v>
                </c:pt>
                <c:pt idx="49">
                  <c:v>0.9297764858882489</c:v>
                </c:pt>
                <c:pt idx="50">
                  <c:v>7.350673889017223E-15</c:v>
                </c:pt>
                <c:pt idx="51">
                  <c:v>-0.92977648588824902</c:v>
                </c:pt>
                <c:pt idx="52">
                  <c:v>0.68454710592869306</c:v>
                </c:pt>
                <c:pt idx="53">
                  <c:v>0.42577929156508049</c:v>
                </c:pt>
                <c:pt idx="54">
                  <c:v>-0.99802672842827189</c:v>
                </c:pt>
                <c:pt idx="55">
                  <c:v>0.30901699437495189</c:v>
                </c:pt>
                <c:pt idx="56">
                  <c:v>0.77051324277579558</c:v>
                </c:pt>
                <c:pt idx="57">
                  <c:v>-0.87630668004385859</c:v>
                </c:pt>
                <c:pt idx="58">
                  <c:v>-0.12533323356430087</c:v>
                </c:pt>
                <c:pt idx="59">
                  <c:v>0.96858316112863396</c:v>
                </c:pt>
                <c:pt idx="60">
                  <c:v>-0.5877852522924637</c:v>
                </c:pt>
                <c:pt idx="61">
                  <c:v>-0.53582679497900687</c:v>
                </c:pt>
                <c:pt idx="62">
                  <c:v>0.98228725072868894</c:v>
                </c:pt>
                <c:pt idx="63">
                  <c:v>-0.18738131458572585</c:v>
                </c:pt>
                <c:pt idx="64">
                  <c:v>-0.84432792550202229</c:v>
                </c:pt>
                <c:pt idx="65">
                  <c:v>0.80901699437494767</c:v>
                </c:pt>
                <c:pt idx="66">
                  <c:v>0.24868988716485482</c:v>
                </c:pt>
                <c:pt idx="67">
                  <c:v>-0.99211470131447965</c:v>
                </c:pt>
                <c:pt idx="68">
                  <c:v>0.48175367410171449</c:v>
                </c:pt>
                <c:pt idx="69">
                  <c:v>0.63742398974870174</c:v>
                </c:pt>
                <c:pt idx="70">
                  <c:v>-0.95105651629514421</c:v>
                </c:pt>
                <c:pt idx="71">
                  <c:v>6.2790519529325364E-2</c:v>
                </c:pt>
                <c:pt idx="72">
                  <c:v>0.90482705246602069</c:v>
                </c:pt>
                <c:pt idx="73">
                  <c:v>-0.72896862742139967</c:v>
                </c:pt>
                <c:pt idx="74">
                  <c:v>-0.36812455268468119</c:v>
                </c:pt>
                <c:pt idx="75">
                  <c:v>1</c:v>
                </c:pt>
                <c:pt idx="76">
                  <c:v>-0.36812455268467392</c:v>
                </c:pt>
                <c:pt idx="77">
                  <c:v>-0.72896862742140511</c:v>
                </c:pt>
                <c:pt idx="78">
                  <c:v>0.90482705246601736</c:v>
                </c:pt>
                <c:pt idx="79">
                  <c:v>6.2790519529304825E-2</c:v>
                </c:pt>
                <c:pt idx="80">
                  <c:v>-0.95105651629515542</c:v>
                </c:pt>
                <c:pt idx="81">
                  <c:v>0.63742398974867376</c:v>
                </c:pt>
                <c:pt idx="82">
                  <c:v>0.48175367410172137</c:v>
                </c:pt>
                <c:pt idx="83">
                  <c:v>-0.99211470131447865</c:v>
                </c:pt>
                <c:pt idx="84">
                  <c:v>0.24868988716484725</c:v>
                </c:pt>
                <c:pt idx="85">
                  <c:v>0.80901699437496066</c:v>
                </c:pt>
                <c:pt idx="86">
                  <c:v>-0.84432792550201041</c:v>
                </c:pt>
                <c:pt idx="87">
                  <c:v>-0.18738131458574753</c:v>
                </c:pt>
                <c:pt idx="88">
                  <c:v>0.98228725072869583</c:v>
                </c:pt>
                <c:pt idx="89">
                  <c:v>-0.53582679497900021</c:v>
                </c:pt>
                <c:pt idx="90">
                  <c:v>-0.58778525229248157</c:v>
                </c:pt>
                <c:pt idx="91">
                  <c:v>0.96858316112863196</c:v>
                </c:pt>
                <c:pt idx="92">
                  <c:v>-0.12533323356429307</c:v>
                </c:pt>
                <c:pt idx="93">
                  <c:v>-0.87630668004387602</c:v>
                </c:pt>
                <c:pt idx="94">
                  <c:v>0.77051324277579958</c:v>
                </c:pt>
                <c:pt idx="95">
                  <c:v>0.30901699437494584</c:v>
                </c:pt>
                <c:pt idx="96">
                  <c:v>-0.99802672842827234</c:v>
                </c:pt>
                <c:pt idx="97">
                  <c:v>0.42577929156507338</c:v>
                </c:pt>
                <c:pt idx="98">
                  <c:v>0.68454710592869872</c:v>
                </c:pt>
                <c:pt idx="99">
                  <c:v>-0.92977648588825135</c:v>
                </c:pt>
                <c:pt idx="100">
                  <c:v>-1.4701347778034446E-14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69-42B8-9006-E0DDD5A94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619536"/>
        <c:axId val="784622816"/>
      </c:scatterChart>
      <c:valAx>
        <c:axId val="784619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84622816"/>
        <c:crosses val="autoZero"/>
        <c:crossBetween val="midCat"/>
      </c:valAx>
      <c:valAx>
        <c:axId val="7846228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8461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'【解答】演習問題4（リサージュ曲線）'!$D$9</c:f>
              <c:strCache>
                <c:ptCount val="1"/>
                <c:pt idx="0">
                  <c:v>y</c:v>
                </c:pt>
              </c:strCache>
            </c:strRef>
          </c:tx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'【解答】演習問題4（リサージュ曲線）'!$C$10:$C$110</c:f>
              <c:numCache>
                <c:formatCode>General</c:formatCode>
                <c:ptCount val="101"/>
                <c:pt idx="0">
                  <c:v>1</c:v>
                </c:pt>
                <c:pt idx="1">
                  <c:v>0.98228725072868872</c:v>
                </c:pt>
                <c:pt idx="2">
                  <c:v>0.92977648588825146</c:v>
                </c:pt>
                <c:pt idx="3">
                  <c:v>0.84432792550201508</c:v>
                </c:pt>
                <c:pt idx="4">
                  <c:v>0.72896862742141155</c:v>
                </c:pt>
                <c:pt idx="5">
                  <c:v>0.58778525229247325</c:v>
                </c:pt>
                <c:pt idx="6">
                  <c:v>0.42577929156507266</c:v>
                </c:pt>
                <c:pt idx="7">
                  <c:v>0.24868988716485474</c:v>
                </c:pt>
                <c:pt idx="8">
                  <c:v>6.2790519529313527E-2</c:v>
                </c:pt>
                <c:pt idx="9">
                  <c:v>-0.12533323356430415</c:v>
                </c:pt>
                <c:pt idx="10">
                  <c:v>-0.30901699437494712</c:v>
                </c:pt>
                <c:pt idx="11">
                  <c:v>-0.48175367410171505</c:v>
                </c:pt>
                <c:pt idx="12">
                  <c:v>-0.63742398974868975</c:v>
                </c:pt>
                <c:pt idx="13">
                  <c:v>-0.77051324277578936</c:v>
                </c:pt>
                <c:pt idx="14">
                  <c:v>-0.87630668004386358</c:v>
                </c:pt>
                <c:pt idx="15">
                  <c:v>-0.95105651629515342</c:v>
                </c:pt>
                <c:pt idx="16">
                  <c:v>-0.99211470131447776</c:v>
                </c:pt>
                <c:pt idx="17">
                  <c:v>-0.99802672842827156</c:v>
                </c:pt>
                <c:pt idx="18">
                  <c:v>-0.96858316112863119</c:v>
                </c:pt>
                <c:pt idx="19">
                  <c:v>-0.90482705246601969</c:v>
                </c:pt>
                <c:pt idx="20">
                  <c:v>-0.80901699437494778</c:v>
                </c:pt>
                <c:pt idx="21">
                  <c:v>-0.68454710592868862</c:v>
                </c:pt>
                <c:pt idx="22">
                  <c:v>-0.5358267949789971</c:v>
                </c:pt>
                <c:pt idx="23">
                  <c:v>-0.36812455268467781</c:v>
                </c:pt>
                <c:pt idx="24">
                  <c:v>-0.18738131458572463</c:v>
                </c:pt>
                <c:pt idx="25">
                  <c:v>-1.83772268236293E-16</c:v>
                </c:pt>
                <c:pt idx="26">
                  <c:v>0.18738131458572513</c:v>
                </c:pt>
                <c:pt idx="27">
                  <c:v>0.36812455268467742</c:v>
                </c:pt>
                <c:pt idx="28">
                  <c:v>0.53582679497899677</c:v>
                </c:pt>
                <c:pt idx="29">
                  <c:v>0.68454710592868795</c:v>
                </c:pt>
                <c:pt idx="30">
                  <c:v>0.80901699437494679</c:v>
                </c:pt>
                <c:pt idx="31">
                  <c:v>0.90482705246601935</c:v>
                </c:pt>
                <c:pt idx="32">
                  <c:v>0.96858316112863097</c:v>
                </c:pt>
                <c:pt idx="33">
                  <c:v>0.99802672842827156</c:v>
                </c:pt>
                <c:pt idx="34">
                  <c:v>0.99211470131447776</c:v>
                </c:pt>
                <c:pt idx="35">
                  <c:v>0.95105651629515364</c:v>
                </c:pt>
                <c:pt idx="36">
                  <c:v>0.87630668004386381</c:v>
                </c:pt>
                <c:pt idx="37">
                  <c:v>0.77051324277578903</c:v>
                </c:pt>
                <c:pt idx="38">
                  <c:v>0.6374239897486903</c:v>
                </c:pt>
                <c:pt idx="39">
                  <c:v>0.48175367410171538</c:v>
                </c:pt>
                <c:pt idx="40">
                  <c:v>0.30901699437494856</c:v>
                </c:pt>
                <c:pt idx="41">
                  <c:v>0.12533323356430559</c:v>
                </c:pt>
                <c:pt idx="42">
                  <c:v>-6.2790519529313596E-2</c:v>
                </c:pt>
                <c:pt idx="43">
                  <c:v>-0.24868988716485482</c:v>
                </c:pt>
                <c:pt idx="44">
                  <c:v>-0.42577929156507172</c:v>
                </c:pt>
                <c:pt idx="45">
                  <c:v>-0.58778525229247292</c:v>
                </c:pt>
                <c:pt idx="46">
                  <c:v>-0.72896862742141177</c:v>
                </c:pt>
                <c:pt idx="47">
                  <c:v>-0.84432792550201563</c:v>
                </c:pt>
                <c:pt idx="48">
                  <c:v>-0.92977648588825146</c:v>
                </c:pt>
                <c:pt idx="49">
                  <c:v>-0.9822872507286885</c:v>
                </c:pt>
                <c:pt idx="50">
                  <c:v>-1</c:v>
                </c:pt>
                <c:pt idx="51">
                  <c:v>-0.98228725072868894</c:v>
                </c:pt>
                <c:pt idx="52">
                  <c:v>-0.92977648588825101</c:v>
                </c:pt>
                <c:pt idx="53">
                  <c:v>-0.84432792550201508</c:v>
                </c:pt>
                <c:pt idx="54">
                  <c:v>-0.72896862742141233</c:v>
                </c:pt>
                <c:pt idx="55">
                  <c:v>-0.58778525229247203</c:v>
                </c:pt>
                <c:pt idx="56">
                  <c:v>-0.42577929156507238</c:v>
                </c:pt>
                <c:pt idx="57">
                  <c:v>-0.24868988716485554</c:v>
                </c:pt>
                <c:pt idx="58">
                  <c:v>-6.279051952931522E-2</c:v>
                </c:pt>
                <c:pt idx="59">
                  <c:v>0.12533323356430487</c:v>
                </c:pt>
                <c:pt idx="60">
                  <c:v>0.30901699437494534</c:v>
                </c:pt>
                <c:pt idx="61">
                  <c:v>0.48175367410171394</c:v>
                </c:pt>
                <c:pt idx="62">
                  <c:v>0.63742398974868908</c:v>
                </c:pt>
                <c:pt idx="63">
                  <c:v>0.77051324277578914</c:v>
                </c:pt>
                <c:pt idx="64">
                  <c:v>0.87630668004386303</c:v>
                </c:pt>
                <c:pt idx="65">
                  <c:v>0.95105651629515342</c:v>
                </c:pt>
                <c:pt idx="66">
                  <c:v>0.99211470131447788</c:v>
                </c:pt>
                <c:pt idx="67">
                  <c:v>0.99802672842827167</c:v>
                </c:pt>
                <c:pt idx="68">
                  <c:v>0.96858316112863074</c:v>
                </c:pt>
                <c:pt idx="69">
                  <c:v>0.90482705246602002</c:v>
                </c:pt>
                <c:pt idx="70">
                  <c:v>0.80901699437494767</c:v>
                </c:pt>
                <c:pt idx="71">
                  <c:v>0.6845471059286885</c:v>
                </c:pt>
                <c:pt idx="72">
                  <c:v>0.53582679497899732</c:v>
                </c:pt>
                <c:pt idx="73">
                  <c:v>0.36812455268467981</c:v>
                </c:pt>
                <c:pt idx="74">
                  <c:v>0.18738131458572413</c:v>
                </c:pt>
                <c:pt idx="75">
                  <c:v>5.51316804708879E-16</c:v>
                </c:pt>
                <c:pt idx="76">
                  <c:v>-0.18738131458572305</c:v>
                </c:pt>
                <c:pt idx="77">
                  <c:v>-0.36812455268467875</c:v>
                </c:pt>
                <c:pt idx="78">
                  <c:v>-0.53582679497899643</c:v>
                </c:pt>
                <c:pt idx="79">
                  <c:v>-0.68454710592868906</c:v>
                </c:pt>
                <c:pt idx="80">
                  <c:v>-0.80901699437494601</c:v>
                </c:pt>
                <c:pt idx="81">
                  <c:v>-0.90482705246601958</c:v>
                </c:pt>
                <c:pt idx="82">
                  <c:v>-0.96858316112863041</c:v>
                </c:pt>
                <c:pt idx="83">
                  <c:v>-0.99802672842827167</c:v>
                </c:pt>
                <c:pt idx="84">
                  <c:v>-0.99211470131447776</c:v>
                </c:pt>
                <c:pt idx="85">
                  <c:v>-0.9510565162951532</c:v>
                </c:pt>
                <c:pt idx="86">
                  <c:v>-0.87630668004386358</c:v>
                </c:pt>
                <c:pt idx="87">
                  <c:v>-0.77051324277578992</c:v>
                </c:pt>
                <c:pt idx="88">
                  <c:v>-0.6374239897486913</c:v>
                </c:pt>
                <c:pt idx="89">
                  <c:v>-0.48175367410171493</c:v>
                </c:pt>
                <c:pt idx="90">
                  <c:v>-0.30901699437494806</c:v>
                </c:pt>
                <c:pt idx="91">
                  <c:v>-0.12533323356430598</c:v>
                </c:pt>
                <c:pt idx="92">
                  <c:v>6.2790519529314123E-2</c:v>
                </c:pt>
                <c:pt idx="93">
                  <c:v>0.24868988716485102</c:v>
                </c:pt>
                <c:pt idx="94">
                  <c:v>0.4257792915650746</c:v>
                </c:pt>
                <c:pt idx="95">
                  <c:v>0.58778525229247403</c:v>
                </c:pt>
                <c:pt idx="96">
                  <c:v>0.72896862742141155</c:v>
                </c:pt>
                <c:pt idx="97">
                  <c:v>0.84432792550201452</c:v>
                </c:pt>
                <c:pt idx="98">
                  <c:v>0.92977648588825057</c:v>
                </c:pt>
                <c:pt idx="99">
                  <c:v>0.98228725072868872</c:v>
                </c:pt>
                <c:pt idx="100">
                  <c:v>1</c:v>
                </c:pt>
              </c:numCache>
            </c:numRef>
          </c:xVal>
          <c:yVal>
            <c:numRef>
              <c:f>'【解答】演習問題4（リサージュ曲線）'!$D$10:$D$110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0.12533323356430426</c:v>
                </c:pt>
                <c:pt idx="2">
                  <c:v>0.24868988716485479</c:v>
                </c:pt>
                <c:pt idx="3">
                  <c:v>0.36812455268467792</c:v>
                </c:pt>
                <c:pt idx="4">
                  <c:v>0.48175367410171532</c:v>
                </c:pt>
                <c:pt idx="5">
                  <c:v>0.58778525229247314</c:v>
                </c:pt>
                <c:pt idx="6">
                  <c:v>0.68454710592868862</c:v>
                </c:pt>
                <c:pt idx="7">
                  <c:v>0.77051324277578925</c:v>
                </c:pt>
                <c:pt idx="8">
                  <c:v>0.84432792550201508</c:v>
                </c:pt>
                <c:pt idx="9">
                  <c:v>0.90482705246601958</c:v>
                </c:pt>
                <c:pt idx="10">
                  <c:v>0.95105651629515353</c:v>
                </c:pt>
                <c:pt idx="11">
                  <c:v>0.98228725072868861</c:v>
                </c:pt>
                <c:pt idx="12">
                  <c:v>0.99802672842827156</c:v>
                </c:pt>
                <c:pt idx="13">
                  <c:v>0.99802672842827156</c:v>
                </c:pt>
                <c:pt idx="14">
                  <c:v>0.98228725072868872</c:v>
                </c:pt>
                <c:pt idx="15">
                  <c:v>0.95105651629515364</c:v>
                </c:pt>
                <c:pt idx="16">
                  <c:v>0.90482705246601947</c:v>
                </c:pt>
                <c:pt idx="17">
                  <c:v>0.84432792550201496</c:v>
                </c:pt>
                <c:pt idx="18">
                  <c:v>0.77051324277578925</c:v>
                </c:pt>
                <c:pt idx="19">
                  <c:v>0.68454710592868884</c:v>
                </c:pt>
                <c:pt idx="20">
                  <c:v>0.58778525229247325</c:v>
                </c:pt>
                <c:pt idx="21">
                  <c:v>0.48175367410171521</c:v>
                </c:pt>
                <c:pt idx="22">
                  <c:v>0.36812455268467814</c:v>
                </c:pt>
                <c:pt idx="23">
                  <c:v>0.24868988716485524</c:v>
                </c:pt>
                <c:pt idx="24">
                  <c:v>0.12533323356430454</c:v>
                </c:pt>
                <c:pt idx="25">
                  <c:v>1.22514845490862E-16</c:v>
                </c:pt>
                <c:pt idx="26">
                  <c:v>-0.12533323356430429</c:v>
                </c:pt>
                <c:pt idx="27">
                  <c:v>-0.24868988716485457</c:v>
                </c:pt>
                <c:pt idx="28">
                  <c:v>-0.36812455268467792</c:v>
                </c:pt>
                <c:pt idx="29">
                  <c:v>-0.48175367410171538</c:v>
                </c:pt>
                <c:pt idx="30">
                  <c:v>-0.58778525229247269</c:v>
                </c:pt>
                <c:pt idx="31">
                  <c:v>-0.68454710592868839</c:v>
                </c:pt>
                <c:pt idx="32">
                  <c:v>-0.77051324277578936</c:v>
                </c:pt>
                <c:pt idx="33">
                  <c:v>-0.8443279255020153</c:v>
                </c:pt>
                <c:pt idx="34">
                  <c:v>-0.9048270524660198</c:v>
                </c:pt>
                <c:pt idx="35">
                  <c:v>-0.95105651629515353</c:v>
                </c:pt>
                <c:pt idx="36">
                  <c:v>-0.98228725072868872</c:v>
                </c:pt>
                <c:pt idx="37">
                  <c:v>-0.99802672842827156</c:v>
                </c:pt>
                <c:pt idx="38">
                  <c:v>-0.99802672842827156</c:v>
                </c:pt>
                <c:pt idx="39">
                  <c:v>-0.98228725072868872</c:v>
                </c:pt>
                <c:pt idx="40">
                  <c:v>-0.95105651629515364</c:v>
                </c:pt>
                <c:pt idx="41">
                  <c:v>-0.90482705246601991</c:v>
                </c:pt>
                <c:pt idx="42">
                  <c:v>-0.84432792550201496</c:v>
                </c:pt>
                <c:pt idx="43">
                  <c:v>-0.77051324277578959</c:v>
                </c:pt>
                <c:pt idx="44">
                  <c:v>-0.68454710592868895</c:v>
                </c:pt>
                <c:pt idx="45">
                  <c:v>-0.58778525229247336</c:v>
                </c:pt>
                <c:pt idx="46">
                  <c:v>-0.4817536741017161</c:v>
                </c:pt>
                <c:pt idx="47">
                  <c:v>-0.36812455268467786</c:v>
                </c:pt>
                <c:pt idx="48">
                  <c:v>-0.24868988716485535</c:v>
                </c:pt>
                <c:pt idx="49">
                  <c:v>-0.12533323356430465</c:v>
                </c:pt>
                <c:pt idx="50">
                  <c:v>-2.45029690981724E-16</c:v>
                </c:pt>
                <c:pt idx="51">
                  <c:v>0.12533323356430418</c:v>
                </c:pt>
                <c:pt idx="52">
                  <c:v>0.24868988716485488</c:v>
                </c:pt>
                <c:pt idx="53">
                  <c:v>0.3681245526846782</c:v>
                </c:pt>
                <c:pt idx="54">
                  <c:v>0.48175367410171488</c:v>
                </c:pt>
                <c:pt idx="55">
                  <c:v>0.58778525229247292</c:v>
                </c:pt>
                <c:pt idx="56">
                  <c:v>0.68454710592868862</c:v>
                </c:pt>
                <c:pt idx="57">
                  <c:v>0.7705132427757887</c:v>
                </c:pt>
                <c:pt idx="58">
                  <c:v>0.84432792550201519</c:v>
                </c:pt>
                <c:pt idx="59">
                  <c:v>0.90482705246601935</c:v>
                </c:pt>
                <c:pt idx="60">
                  <c:v>0.9510565162951532</c:v>
                </c:pt>
                <c:pt idx="61">
                  <c:v>0.98228725072868861</c:v>
                </c:pt>
                <c:pt idx="62">
                  <c:v>0.99802672842827156</c:v>
                </c:pt>
                <c:pt idx="63">
                  <c:v>0.99802672842827156</c:v>
                </c:pt>
                <c:pt idx="64">
                  <c:v>0.98228725072868861</c:v>
                </c:pt>
                <c:pt idx="65">
                  <c:v>0.95105651629515364</c:v>
                </c:pt>
                <c:pt idx="66">
                  <c:v>0.90482705246601924</c:v>
                </c:pt>
                <c:pt idx="67">
                  <c:v>0.84432792550201508</c:v>
                </c:pt>
                <c:pt idx="68">
                  <c:v>0.77051324277578859</c:v>
                </c:pt>
                <c:pt idx="69">
                  <c:v>0.68454710592868839</c:v>
                </c:pt>
                <c:pt idx="70">
                  <c:v>0.58778525229247336</c:v>
                </c:pt>
                <c:pt idx="71">
                  <c:v>0.48175367410171466</c:v>
                </c:pt>
                <c:pt idx="72">
                  <c:v>0.36812455268467797</c:v>
                </c:pt>
                <c:pt idx="73">
                  <c:v>0.24868988716485549</c:v>
                </c:pt>
                <c:pt idx="74">
                  <c:v>0.1253332335643039</c:v>
                </c:pt>
                <c:pt idx="75">
                  <c:v>3.67544536472586E-16</c:v>
                </c:pt>
                <c:pt idx="76">
                  <c:v>-0.12533323356430318</c:v>
                </c:pt>
                <c:pt idx="77">
                  <c:v>-0.24868988716485477</c:v>
                </c:pt>
                <c:pt idx="78">
                  <c:v>-0.36812455268467725</c:v>
                </c:pt>
                <c:pt idx="79">
                  <c:v>-0.48175367410171555</c:v>
                </c:pt>
                <c:pt idx="80">
                  <c:v>-0.5877852522924728</c:v>
                </c:pt>
                <c:pt idx="81">
                  <c:v>-0.68454710592868784</c:v>
                </c:pt>
                <c:pt idx="82">
                  <c:v>-0.77051324277578803</c:v>
                </c:pt>
                <c:pt idx="83">
                  <c:v>-0.84432792550201563</c:v>
                </c:pt>
                <c:pt idx="84">
                  <c:v>-0.90482705246601969</c:v>
                </c:pt>
                <c:pt idx="85">
                  <c:v>-0.95105651629515342</c:v>
                </c:pt>
                <c:pt idx="86">
                  <c:v>-0.9822872507286885</c:v>
                </c:pt>
                <c:pt idx="87">
                  <c:v>-0.99802672842827145</c:v>
                </c:pt>
                <c:pt idx="88">
                  <c:v>-0.99802672842827156</c:v>
                </c:pt>
                <c:pt idx="89">
                  <c:v>-0.98228725072868861</c:v>
                </c:pt>
                <c:pt idx="90">
                  <c:v>-0.95105651629515375</c:v>
                </c:pt>
                <c:pt idx="91">
                  <c:v>-0.90482705246602002</c:v>
                </c:pt>
                <c:pt idx="92">
                  <c:v>-0.84432792550201607</c:v>
                </c:pt>
                <c:pt idx="93">
                  <c:v>-0.7705132427757897</c:v>
                </c:pt>
                <c:pt idx="94">
                  <c:v>-0.6845471059286885</c:v>
                </c:pt>
                <c:pt idx="95">
                  <c:v>-0.58778525229247347</c:v>
                </c:pt>
                <c:pt idx="96">
                  <c:v>-0.48175367410171632</c:v>
                </c:pt>
                <c:pt idx="97">
                  <c:v>-0.36812455268467809</c:v>
                </c:pt>
                <c:pt idx="98">
                  <c:v>-0.2486898871648556</c:v>
                </c:pt>
                <c:pt idx="99">
                  <c:v>-0.12533323356430401</c:v>
                </c:pt>
                <c:pt idx="100">
                  <c:v>-4.90059381963448E-16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3F-4FFB-B476-00B80313B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994872"/>
        <c:axId val="1021000448"/>
      </c:scatterChart>
      <c:valAx>
        <c:axId val="10209948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21000448"/>
        <c:crosses val="autoZero"/>
        <c:crossBetween val="midCat"/>
      </c:valAx>
      <c:valAx>
        <c:axId val="10210004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20994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'付録（キメラカーブ）'!$D$9</c:f>
              <c:strCache>
                <c:ptCount val="1"/>
                <c:pt idx="0">
                  <c:v>y</c:v>
                </c:pt>
              </c:strCache>
            </c:strRef>
          </c:tx>
          <c:spPr>
            <a:ln w="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501"/>
            <c:marker>
              <c:symbol val="none"/>
            </c:marker>
            <c:bubble3D val="0"/>
            <c:spPr>
              <a:ln w="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71FC-4E6A-9220-08074B887158}"/>
              </c:ext>
            </c:extLst>
          </c:dPt>
          <c:dPt>
            <c:idx val="502"/>
            <c:marker>
              <c:symbol val="none"/>
            </c:marker>
            <c:bubble3D val="0"/>
            <c:spPr>
              <a:ln w="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FC-4E6A-9220-08074B887158}"/>
              </c:ext>
            </c:extLst>
          </c:dPt>
          <c:dPt>
            <c:idx val="503"/>
            <c:marker>
              <c:symbol val="none"/>
            </c:marker>
            <c:bubble3D val="0"/>
            <c:spPr>
              <a:ln w="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1FC-4E6A-9220-08074B887158}"/>
              </c:ext>
            </c:extLst>
          </c:dPt>
          <c:dPt>
            <c:idx val="504"/>
            <c:marker>
              <c:symbol val="none"/>
            </c:marker>
            <c:bubble3D val="0"/>
            <c:spPr>
              <a:ln w="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1FC-4E6A-9220-08074B887158}"/>
              </c:ext>
            </c:extLst>
          </c:dPt>
          <c:xVal>
            <c:numRef>
              <c:f>'付録（キメラカーブ）'!$C$10:$C$514</c:f>
              <c:numCache>
                <c:formatCode>General</c:formatCode>
                <c:ptCount val="50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-1</c:v>
                </c:pt>
                <c:pt idx="504">
                  <c:v>-1</c:v>
                </c:pt>
              </c:numCache>
            </c:numRef>
          </c:xVal>
          <c:yVal>
            <c:numRef>
              <c:f>'付録（キメラカーブ）'!$D$10:$D$514</c:f>
              <c:numCache>
                <c:formatCode>General</c:formatCode>
                <c:ptCount val="5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1</c:v>
                </c:pt>
                <c:pt idx="502">
                  <c:v>-1</c:v>
                </c:pt>
                <c:pt idx="503">
                  <c:v>-1</c:v>
                </c:pt>
                <c:pt idx="50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FC-4E6A-9220-08074B887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786440"/>
        <c:axId val="486783816"/>
      </c:scatterChart>
      <c:valAx>
        <c:axId val="486786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6783816"/>
        <c:crosses val="autoZero"/>
        <c:crossBetween val="midCat"/>
      </c:valAx>
      <c:valAx>
        <c:axId val="4867838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6786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407670</xdr:colOff>
      <xdr:row>6</xdr:row>
      <xdr:rowOff>22860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B1BE9A2-EB28-4804-A132-672AAED92675}"/>
            </a:ext>
          </a:extLst>
        </xdr:cNvPr>
        <xdr:cNvSpPr/>
      </xdr:nvSpPr>
      <xdr:spPr>
        <a:xfrm>
          <a:off x="670560" y="228600"/>
          <a:ext cx="644271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99060</xdr:colOff>
      <xdr:row>1</xdr:row>
      <xdr:rowOff>60960</xdr:rowOff>
    </xdr:from>
    <xdr:to>
      <xdr:col>10</xdr:col>
      <xdr:colOff>259080</xdr:colOff>
      <xdr:row>5</xdr:row>
      <xdr:rowOff>198120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FFAC7F9-45A4-471D-A696-176606E4A697}"/>
            </a:ext>
          </a:extLst>
        </xdr:cNvPr>
        <xdr:cNvSpPr txBox="1"/>
      </xdr:nvSpPr>
      <xdr:spPr>
        <a:xfrm>
          <a:off x="769620" y="289560"/>
          <a:ext cx="619506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演習問題１</a:t>
          </a:r>
          <a:endParaRPr kumimoji="1" lang="en-US" altLang="ja-JP" sz="1100" b="1"/>
        </a:p>
        <a:p>
          <a:r>
            <a:rPr kumimoji="1" lang="ja-JP" altLang="en-US" sz="1100"/>
            <a:t>（１）散布図を使って円を描きましょう（正</a:t>
          </a:r>
          <a:r>
            <a:rPr kumimoji="1" lang="en-US" altLang="ja-JP" sz="1100"/>
            <a:t>100</a:t>
          </a:r>
          <a:r>
            <a:rPr kumimoji="1" lang="ja-JP" altLang="en-US" sz="1100"/>
            <a:t>角形を作成しましょう）。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（２）周期を入れて糸掛けを行いましょう。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11</xdr:row>
      <xdr:rowOff>83820</xdr:rowOff>
    </xdr:from>
    <xdr:to>
      <xdr:col>7</xdr:col>
      <xdr:colOff>563880</xdr:colOff>
      <xdr:row>18</xdr:row>
      <xdr:rowOff>198120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8F44A24A-93D4-4B84-87E7-47A91134104C}"/>
            </a:ext>
          </a:extLst>
        </xdr:cNvPr>
        <xdr:cNvSpPr/>
      </xdr:nvSpPr>
      <xdr:spPr>
        <a:xfrm>
          <a:off x="2788920" y="2613660"/>
          <a:ext cx="2468880" cy="1714500"/>
        </a:xfrm>
        <a:prstGeom prst="wedgeRectCallout">
          <a:avLst>
            <a:gd name="adj1" fmla="val -59105"/>
            <a:gd name="adj2" fmla="val -70833"/>
          </a:avLst>
        </a:prstGeom>
        <a:solidFill>
          <a:schemeClr val="bg1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10</xdr:col>
      <xdr:colOff>407670</xdr:colOff>
      <xdr:row>6</xdr:row>
      <xdr:rowOff>22860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705EC58-553B-4EFA-834F-38190019994B}"/>
            </a:ext>
          </a:extLst>
        </xdr:cNvPr>
        <xdr:cNvSpPr/>
      </xdr:nvSpPr>
      <xdr:spPr>
        <a:xfrm>
          <a:off x="670560" y="228600"/>
          <a:ext cx="644271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99060</xdr:colOff>
      <xdr:row>1</xdr:row>
      <xdr:rowOff>60960</xdr:rowOff>
    </xdr:from>
    <xdr:to>
      <xdr:col>10</xdr:col>
      <xdr:colOff>259080</xdr:colOff>
      <xdr:row>5</xdr:row>
      <xdr:rowOff>198120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F9F9FAA-71EB-4F0F-9D81-F57C789985DE}"/>
            </a:ext>
          </a:extLst>
        </xdr:cNvPr>
        <xdr:cNvSpPr txBox="1"/>
      </xdr:nvSpPr>
      <xdr:spPr>
        <a:xfrm>
          <a:off x="769620" y="289560"/>
          <a:ext cx="619506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演習問題１</a:t>
          </a:r>
          <a:endParaRPr kumimoji="1" lang="en-US" altLang="ja-JP" sz="1100" b="1"/>
        </a:p>
        <a:p>
          <a:r>
            <a:rPr kumimoji="1" lang="ja-JP" altLang="en-US" sz="1100"/>
            <a:t>（１）散布図を使って円を描きましょう（正</a:t>
          </a:r>
          <a:r>
            <a:rPr kumimoji="1" lang="en-US" altLang="ja-JP" sz="1100"/>
            <a:t>100</a:t>
          </a:r>
          <a:r>
            <a:rPr kumimoji="1" lang="ja-JP" altLang="en-US" sz="1100"/>
            <a:t>角形を作成しましょう）。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（２）周期を入れて糸掛けを行いましょう。</a:t>
          </a:r>
        </a:p>
      </xdr:txBody>
    </xdr:sp>
    <xdr:clientData/>
  </xdr:twoCellAnchor>
  <xdr:twoCellAnchor>
    <xdr:from>
      <xdr:col>9</xdr:col>
      <xdr:colOff>3810</xdr:colOff>
      <xdr:row>9</xdr:row>
      <xdr:rowOff>7620</xdr:rowOff>
    </xdr:from>
    <xdr:to>
      <xdr:col>14</xdr:col>
      <xdr:colOff>251010</xdr:colOff>
      <xdr:row>24</xdr:row>
      <xdr:rowOff>178620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7AC2DDA-9EBB-4BAB-9130-845FE28C5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541020</xdr:colOff>
      <xdr:row>9</xdr:row>
      <xdr:rowOff>7620</xdr:rowOff>
    </xdr:from>
    <xdr:to>
      <xdr:col>7</xdr:col>
      <xdr:colOff>632460</xdr:colOff>
      <xdr:row>10</xdr:row>
      <xdr:rowOff>38100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D6080B03-8634-4A6C-B3DB-4C5F290F0A58}"/>
            </a:ext>
          </a:extLst>
        </xdr:cNvPr>
        <xdr:cNvSpPr txBox="1"/>
      </xdr:nvSpPr>
      <xdr:spPr>
        <a:xfrm>
          <a:off x="3223260" y="2080260"/>
          <a:ext cx="2103120" cy="259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←関数を入力し、コピー。</a:t>
          </a:r>
        </a:p>
      </xdr:txBody>
    </xdr:sp>
    <xdr:clientData/>
  </xdr:twoCellAnchor>
  <xdr:twoCellAnchor>
    <xdr:from>
      <xdr:col>4</xdr:col>
      <xdr:colOff>373380</xdr:colOff>
      <xdr:row>12</xdr:row>
      <xdr:rowOff>0</xdr:rowOff>
    </xdr:from>
    <xdr:to>
      <xdr:col>7</xdr:col>
      <xdr:colOff>464820</xdr:colOff>
      <xdr:row>18</xdr:row>
      <xdr:rowOff>129540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1ACDB0E8-6302-463C-AD3C-D77051E69B8B}"/>
            </a:ext>
          </a:extLst>
        </xdr:cNvPr>
        <xdr:cNvSpPr txBox="1"/>
      </xdr:nvSpPr>
      <xdr:spPr>
        <a:xfrm>
          <a:off x="3055620" y="2758440"/>
          <a:ext cx="2103120" cy="15011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b="1">
              <a:solidFill>
                <a:srgbClr val="FF0000"/>
              </a:solidFill>
            </a:rPr>
            <a:t>【</a:t>
          </a:r>
          <a:r>
            <a:rPr kumimoji="1" lang="ja-JP" altLang="en-US" sz="1100" b="1">
              <a:solidFill>
                <a:srgbClr val="FF0000"/>
              </a:solidFill>
            </a:rPr>
            <a:t>周期なしの場合</a:t>
          </a:r>
          <a:r>
            <a:rPr kumimoji="1" lang="en-US" altLang="ja-JP" sz="1100" b="1">
              <a:solidFill>
                <a:srgbClr val="FF0000"/>
              </a:solidFill>
            </a:rPr>
            <a:t>】</a:t>
          </a:r>
        </a:p>
        <a:p>
          <a:r>
            <a:rPr kumimoji="1" lang="en-US" altLang="ja-JP" sz="1100" b="1">
              <a:solidFill>
                <a:srgbClr val="FF0000"/>
              </a:solidFill>
            </a:rPr>
            <a:t>=COS(2*PI()*B10/100)</a:t>
          </a:r>
        </a:p>
        <a:p>
          <a:r>
            <a:rPr kumimoji="1" lang="en-US" altLang="ja-JP" sz="1100" b="1">
              <a:solidFill>
                <a:srgbClr val="FF0000"/>
              </a:solidFill>
            </a:rPr>
            <a:t>=SIN(2*PI()*B10/100)</a:t>
          </a:r>
        </a:p>
        <a:p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en-US" altLang="ja-JP" sz="1100" b="1">
              <a:solidFill>
                <a:srgbClr val="FF0000"/>
              </a:solidFill>
            </a:rPr>
            <a:t>【</a:t>
          </a:r>
          <a:r>
            <a:rPr kumimoji="1" lang="ja-JP" altLang="en-US" sz="1100" b="1">
              <a:solidFill>
                <a:srgbClr val="FF0000"/>
              </a:solidFill>
            </a:rPr>
            <a:t>周期ありの場合</a:t>
          </a:r>
          <a:r>
            <a:rPr kumimoji="1" lang="en-US" altLang="ja-JP" sz="1100" b="1">
              <a:solidFill>
                <a:srgbClr val="FF0000"/>
              </a:solidFill>
            </a:rPr>
            <a:t>】</a:t>
          </a:r>
        </a:p>
        <a:p>
          <a:r>
            <a:rPr kumimoji="1" lang="en-US" altLang="ja-JP" sz="1100" b="1">
              <a:solidFill>
                <a:srgbClr val="FF0000"/>
              </a:solidFill>
            </a:rPr>
            <a:t>=COS(2*PI()*B10*$G$9/100)</a:t>
          </a:r>
        </a:p>
        <a:p>
          <a:r>
            <a:rPr kumimoji="1" lang="en-US" altLang="ja-JP" sz="1100" b="1">
              <a:solidFill>
                <a:srgbClr val="FF0000"/>
              </a:solidFill>
            </a:rPr>
            <a:t>=SIN(2*PI()*B10*$G$9/100)</a:t>
          </a:r>
        </a:p>
        <a:p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617220</xdr:colOff>
      <xdr:row>8</xdr:row>
      <xdr:rowOff>213360</xdr:rowOff>
    </xdr:from>
    <xdr:to>
      <xdr:col>4</xdr:col>
      <xdr:colOff>30480</xdr:colOff>
      <xdr:row>10</xdr:row>
      <xdr:rowOff>38100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9AFB2E8-D8C2-4801-A738-1FA7B6253ABF}"/>
            </a:ext>
          </a:extLst>
        </xdr:cNvPr>
        <xdr:cNvSpPr/>
      </xdr:nvSpPr>
      <xdr:spPr>
        <a:xfrm>
          <a:off x="1287780" y="2049780"/>
          <a:ext cx="1424940" cy="2895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407670</xdr:colOff>
      <xdr:row>6</xdr:row>
      <xdr:rowOff>22860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5ED4508-46E5-47DD-9688-D5D961F1CFF5}"/>
            </a:ext>
          </a:extLst>
        </xdr:cNvPr>
        <xdr:cNvSpPr/>
      </xdr:nvSpPr>
      <xdr:spPr>
        <a:xfrm>
          <a:off x="670560" y="228600"/>
          <a:ext cx="644271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99060</xdr:colOff>
      <xdr:row>1</xdr:row>
      <xdr:rowOff>60960</xdr:rowOff>
    </xdr:from>
    <xdr:to>
      <xdr:col>10</xdr:col>
      <xdr:colOff>259080</xdr:colOff>
      <xdr:row>5</xdr:row>
      <xdr:rowOff>198120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A16F83C-6F4E-4A38-8503-73DD88014E56}"/>
            </a:ext>
          </a:extLst>
        </xdr:cNvPr>
        <xdr:cNvSpPr txBox="1"/>
      </xdr:nvSpPr>
      <xdr:spPr>
        <a:xfrm>
          <a:off x="769620" y="289560"/>
          <a:ext cx="619506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演習問題２</a:t>
          </a:r>
          <a:endParaRPr kumimoji="1" lang="en-US" altLang="ja-JP" sz="1100" b="1"/>
        </a:p>
        <a:p>
          <a:r>
            <a:rPr kumimoji="1" lang="ja-JP" altLang="en-US" sz="1100"/>
            <a:t>（１）アルキメデス螺旋を描いてみましょう。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（２）ベルヌーイ螺旋を描いてみましょう。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</xdr:row>
      <xdr:rowOff>30480</xdr:rowOff>
    </xdr:from>
    <xdr:to>
      <xdr:col>10</xdr:col>
      <xdr:colOff>430530</xdr:colOff>
      <xdr:row>6</xdr:row>
      <xdr:rowOff>53340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ED98178-6942-4578-8312-882B5076108D}"/>
            </a:ext>
          </a:extLst>
        </xdr:cNvPr>
        <xdr:cNvSpPr/>
      </xdr:nvSpPr>
      <xdr:spPr>
        <a:xfrm>
          <a:off x="693420" y="259080"/>
          <a:ext cx="644271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99060</xdr:colOff>
      <xdr:row>1</xdr:row>
      <xdr:rowOff>60960</xdr:rowOff>
    </xdr:from>
    <xdr:to>
      <xdr:col>10</xdr:col>
      <xdr:colOff>259080</xdr:colOff>
      <xdr:row>5</xdr:row>
      <xdr:rowOff>198120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226898D-7575-43B1-840F-0036B4A5D7B8}"/>
            </a:ext>
          </a:extLst>
        </xdr:cNvPr>
        <xdr:cNvSpPr txBox="1"/>
      </xdr:nvSpPr>
      <xdr:spPr>
        <a:xfrm>
          <a:off x="769620" y="289560"/>
          <a:ext cx="619506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演習問題３</a:t>
          </a:r>
          <a:endParaRPr kumimoji="1" lang="en-US" altLang="ja-JP" sz="1100" b="1"/>
        </a:p>
        <a:p>
          <a:r>
            <a:rPr kumimoji="1" lang="ja-JP" altLang="en-US" sz="1100"/>
            <a:t>（１）ハイポサイクロイドを調節してさまざまな曲線を描いてみよう。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</a:t>
          </a:r>
          <a:r>
            <a:rPr kumimoji="1" lang="en-US" altLang="ja-JP" sz="1100"/>
            <a:t>r=1,</a:t>
          </a:r>
          <a:r>
            <a:rPr kumimoji="1" lang="en-US" altLang="ja-JP" sz="1100" baseline="0"/>
            <a:t> R=2</a:t>
          </a:r>
          <a:r>
            <a:rPr kumimoji="1" lang="ja-JP" altLang="en-US" sz="1100" baseline="0"/>
            <a:t>の場合を描いてみよう。</a:t>
          </a:r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407670</xdr:colOff>
      <xdr:row>6</xdr:row>
      <xdr:rowOff>22860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6993066-2CC2-4FC0-AD05-E6A77CEED333}"/>
            </a:ext>
          </a:extLst>
        </xdr:cNvPr>
        <xdr:cNvSpPr/>
      </xdr:nvSpPr>
      <xdr:spPr>
        <a:xfrm>
          <a:off x="670560" y="228600"/>
          <a:ext cx="644271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99060</xdr:colOff>
      <xdr:row>1</xdr:row>
      <xdr:rowOff>60960</xdr:rowOff>
    </xdr:from>
    <xdr:to>
      <xdr:col>10</xdr:col>
      <xdr:colOff>259080</xdr:colOff>
      <xdr:row>5</xdr:row>
      <xdr:rowOff>198120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61F0C01-0614-48CE-93F9-7B913F6768AF}"/>
            </a:ext>
          </a:extLst>
        </xdr:cNvPr>
        <xdr:cNvSpPr txBox="1"/>
      </xdr:nvSpPr>
      <xdr:spPr>
        <a:xfrm>
          <a:off x="769620" y="289560"/>
          <a:ext cx="619506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演習問題４</a:t>
          </a:r>
          <a:endParaRPr kumimoji="1" lang="en-US" altLang="ja-JP" sz="1100" b="1"/>
        </a:p>
        <a:p>
          <a:r>
            <a:rPr kumimoji="1" lang="ja-JP" altLang="en-US" sz="1100"/>
            <a:t>（１）周期</a:t>
          </a:r>
          <a:r>
            <a:rPr kumimoji="1" lang="en-US" altLang="ja-JP" sz="1100"/>
            <a:t>(3,2)</a:t>
          </a:r>
          <a:r>
            <a:rPr kumimoji="1" lang="ja-JP" altLang="en-US" sz="1100"/>
            <a:t>のリサージュ曲線を描いてみよう。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（２）周期を入れて糸掛けを行いましょう。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407670</xdr:colOff>
      <xdr:row>6</xdr:row>
      <xdr:rowOff>22860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884EA5A-DCC8-49CB-90FD-646C47CEF0C3}"/>
            </a:ext>
          </a:extLst>
        </xdr:cNvPr>
        <xdr:cNvSpPr/>
      </xdr:nvSpPr>
      <xdr:spPr>
        <a:xfrm>
          <a:off x="670560" y="228600"/>
          <a:ext cx="644271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99060</xdr:colOff>
      <xdr:row>1</xdr:row>
      <xdr:rowOff>60960</xdr:rowOff>
    </xdr:from>
    <xdr:to>
      <xdr:col>10</xdr:col>
      <xdr:colOff>259080</xdr:colOff>
      <xdr:row>5</xdr:row>
      <xdr:rowOff>198120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02106DB-78D3-4281-BA00-94C2A4C48E20}"/>
            </a:ext>
          </a:extLst>
        </xdr:cNvPr>
        <xdr:cNvSpPr txBox="1"/>
      </xdr:nvSpPr>
      <xdr:spPr>
        <a:xfrm>
          <a:off x="769620" y="289560"/>
          <a:ext cx="619506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演習問題４</a:t>
          </a:r>
          <a:endParaRPr kumimoji="1" lang="en-US" altLang="ja-JP" sz="1100" b="1"/>
        </a:p>
        <a:p>
          <a:r>
            <a:rPr kumimoji="1" lang="ja-JP" altLang="en-US" sz="1100"/>
            <a:t>（１）周期</a:t>
          </a:r>
          <a:r>
            <a:rPr kumimoji="1" lang="en-US" altLang="ja-JP" sz="1100"/>
            <a:t>(3,2)</a:t>
          </a:r>
          <a:r>
            <a:rPr kumimoji="1" lang="ja-JP" altLang="en-US" sz="1100"/>
            <a:t>のリサージュ曲線を描いてみよう。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（２）周期を入れて糸掛けを行いましょう。</a:t>
          </a:r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10</xdr:col>
      <xdr:colOff>247200</xdr:colOff>
      <xdr:row>28</xdr:row>
      <xdr:rowOff>171000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FF95E11-45AC-4699-B5D3-353F58BD1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407670</xdr:colOff>
      <xdr:row>6</xdr:row>
      <xdr:rowOff>22860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24034AE-967B-4DAC-943B-BF03B8B28288}"/>
            </a:ext>
          </a:extLst>
        </xdr:cNvPr>
        <xdr:cNvSpPr/>
      </xdr:nvSpPr>
      <xdr:spPr>
        <a:xfrm>
          <a:off x="670560" y="228600"/>
          <a:ext cx="644271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99060</xdr:colOff>
      <xdr:row>1</xdr:row>
      <xdr:rowOff>60960</xdr:rowOff>
    </xdr:from>
    <xdr:to>
      <xdr:col>10</xdr:col>
      <xdr:colOff>259080</xdr:colOff>
      <xdr:row>5</xdr:row>
      <xdr:rowOff>198120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C11EF736-135A-46B3-93A7-CD22DB26FD5B}"/>
            </a:ext>
          </a:extLst>
        </xdr:cNvPr>
        <xdr:cNvSpPr txBox="1"/>
      </xdr:nvSpPr>
      <xdr:spPr>
        <a:xfrm>
          <a:off x="769620" y="289560"/>
          <a:ext cx="619506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付録（ハイポサイクロイド＋トロコイド＋リサージュ＋周期）</a:t>
          </a:r>
          <a:endParaRPr kumimoji="1" lang="en-US" altLang="ja-JP" sz="1100" b="1"/>
        </a:p>
        <a:p>
          <a:endParaRPr kumimoji="1" lang="en-US" altLang="ja-JP" sz="1100"/>
        </a:p>
        <a:p>
          <a:r>
            <a:rPr kumimoji="1" lang="ja-JP" altLang="en-US" sz="1100"/>
            <a:t>パラメータを調節して形を変えてみましょう。</a:t>
          </a:r>
        </a:p>
      </xdr:txBody>
    </xdr:sp>
    <xdr:clientData/>
  </xdr:twoCellAnchor>
  <xdr:twoCellAnchor>
    <xdr:from>
      <xdr:col>4</xdr:col>
      <xdr:colOff>666750</xdr:colOff>
      <xdr:row>12</xdr:row>
      <xdr:rowOff>0</xdr:rowOff>
    </xdr:from>
    <xdr:to>
      <xdr:col>10</xdr:col>
      <xdr:colOff>243390</xdr:colOff>
      <xdr:row>27</xdr:row>
      <xdr:rowOff>171000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6677562-6809-4C4B-A933-20253066D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F9B0-1B5B-45BA-9BFC-83282A301E79}">
  <dimension ref="B8:G110"/>
  <sheetViews>
    <sheetView tabSelected="1" workbookViewId="0">
      <selection activeCell="B9" sqref="B9"/>
    </sheetView>
  </sheetViews>
  <sheetFormatPr defaultRowHeight="18" x14ac:dyDescent="0.45"/>
  <sheetData>
    <row r="8" spans="2:7" ht="18.600000000000001" thickBot="1" x14ac:dyDescent="0.5"/>
    <row r="9" spans="2:7" ht="18.600000000000001" thickBot="1" x14ac:dyDescent="0.5">
      <c r="B9" s="6" t="s">
        <v>0</v>
      </c>
      <c r="C9" s="8" t="s">
        <v>1</v>
      </c>
      <c r="D9" s="7" t="s">
        <v>2</v>
      </c>
      <c r="F9" s="11" t="s">
        <v>3</v>
      </c>
      <c r="G9" s="5"/>
    </row>
    <row r="10" spans="2:7" x14ac:dyDescent="0.45">
      <c r="B10" s="1">
        <v>0</v>
      </c>
      <c r="C10" s="9"/>
      <c r="D10" s="2"/>
    </row>
    <row r="11" spans="2:7" x14ac:dyDescent="0.45">
      <c r="B11" s="1">
        <v>1</v>
      </c>
      <c r="C11" s="9"/>
      <c r="D11" s="2"/>
    </row>
    <row r="12" spans="2:7" x14ac:dyDescent="0.45">
      <c r="B12" s="1">
        <v>2</v>
      </c>
      <c r="C12" s="9"/>
      <c r="D12" s="2"/>
    </row>
    <row r="13" spans="2:7" x14ac:dyDescent="0.45">
      <c r="B13" s="1">
        <v>3</v>
      </c>
      <c r="C13" s="9"/>
      <c r="D13" s="2"/>
    </row>
    <row r="14" spans="2:7" x14ac:dyDescent="0.45">
      <c r="B14" s="1">
        <v>4</v>
      </c>
      <c r="C14" s="9"/>
      <c r="D14" s="2"/>
    </row>
    <row r="15" spans="2:7" x14ac:dyDescent="0.45">
      <c r="B15" s="1">
        <v>5</v>
      </c>
      <c r="C15" s="9"/>
      <c r="D15" s="2"/>
    </row>
    <row r="16" spans="2:7" x14ac:dyDescent="0.45">
      <c r="B16" s="1">
        <v>6</v>
      </c>
      <c r="C16" s="9"/>
      <c r="D16" s="2"/>
    </row>
    <row r="17" spans="2:4" x14ac:dyDescent="0.45">
      <c r="B17" s="1">
        <v>7</v>
      </c>
      <c r="C17" s="9"/>
      <c r="D17" s="2"/>
    </row>
    <row r="18" spans="2:4" x14ac:dyDescent="0.45">
      <c r="B18" s="1">
        <v>8</v>
      </c>
      <c r="C18" s="9"/>
      <c r="D18" s="2"/>
    </row>
    <row r="19" spans="2:4" x14ac:dyDescent="0.45">
      <c r="B19" s="1">
        <v>9</v>
      </c>
      <c r="C19" s="9"/>
      <c r="D19" s="2"/>
    </row>
    <row r="20" spans="2:4" x14ac:dyDescent="0.45">
      <c r="B20" s="1">
        <v>10</v>
      </c>
      <c r="C20" s="9"/>
      <c r="D20" s="2"/>
    </row>
    <row r="21" spans="2:4" x14ac:dyDescent="0.45">
      <c r="B21" s="1">
        <v>11</v>
      </c>
      <c r="C21" s="9"/>
      <c r="D21" s="2"/>
    </row>
    <row r="22" spans="2:4" x14ac:dyDescent="0.45">
      <c r="B22" s="1">
        <v>12</v>
      </c>
      <c r="C22" s="9"/>
      <c r="D22" s="2"/>
    </row>
    <row r="23" spans="2:4" x14ac:dyDescent="0.45">
      <c r="B23" s="1">
        <v>13</v>
      </c>
      <c r="C23" s="9"/>
      <c r="D23" s="2"/>
    </row>
    <row r="24" spans="2:4" x14ac:dyDescent="0.45">
      <c r="B24" s="1">
        <v>14</v>
      </c>
      <c r="C24" s="9"/>
      <c r="D24" s="2"/>
    </row>
    <row r="25" spans="2:4" x14ac:dyDescent="0.45">
      <c r="B25" s="1">
        <v>15</v>
      </c>
      <c r="C25" s="9"/>
      <c r="D25" s="2"/>
    </row>
    <row r="26" spans="2:4" x14ac:dyDescent="0.45">
      <c r="B26" s="1">
        <v>16</v>
      </c>
      <c r="C26" s="9"/>
      <c r="D26" s="2"/>
    </row>
    <row r="27" spans="2:4" x14ac:dyDescent="0.45">
      <c r="B27" s="1">
        <v>17</v>
      </c>
      <c r="C27" s="9"/>
      <c r="D27" s="2"/>
    </row>
    <row r="28" spans="2:4" x14ac:dyDescent="0.45">
      <c r="B28" s="1">
        <v>18</v>
      </c>
      <c r="C28" s="9"/>
      <c r="D28" s="2"/>
    </row>
    <row r="29" spans="2:4" x14ac:dyDescent="0.45">
      <c r="B29" s="1">
        <v>19</v>
      </c>
      <c r="C29" s="9"/>
      <c r="D29" s="2"/>
    </row>
    <row r="30" spans="2:4" x14ac:dyDescent="0.45">
      <c r="B30" s="1">
        <v>20</v>
      </c>
      <c r="C30" s="9"/>
      <c r="D30" s="2"/>
    </row>
    <row r="31" spans="2:4" x14ac:dyDescent="0.45">
      <c r="B31" s="1">
        <v>21</v>
      </c>
      <c r="C31" s="9"/>
      <c r="D31" s="2"/>
    </row>
    <row r="32" spans="2:4" x14ac:dyDescent="0.45">
      <c r="B32" s="1">
        <v>22</v>
      </c>
      <c r="C32" s="9"/>
      <c r="D32" s="2"/>
    </row>
    <row r="33" spans="2:4" x14ac:dyDescent="0.45">
      <c r="B33" s="1">
        <v>23</v>
      </c>
      <c r="C33" s="9"/>
      <c r="D33" s="2"/>
    </row>
    <row r="34" spans="2:4" x14ac:dyDescent="0.45">
      <c r="B34" s="1">
        <v>24</v>
      </c>
      <c r="C34" s="9"/>
      <c r="D34" s="2"/>
    </row>
    <row r="35" spans="2:4" x14ac:dyDescent="0.45">
      <c r="B35" s="1">
        <v>25</v>
      </c>
      <c r="C35" s="9"/>
      <c r="D35" s="2"/>
    </row>
    <row r="36" spans="2:4" x14ac:dyDescent="0.45">
      <c r="B36" s="1">
        <v>26</v>
      </c>
      <c r="C36" s="9"/>
      <c r="D36" s="2"/>
    </row>
    <row r="37" spans="2:4" x14ac:dyDescent="0.45">
      <c r="B37" s="1">
        <v>27</v>
      </c>
      <c r="C37" s="9"/>
      <c r="D37" s="2"/>
    </row>
    <row r="38" spans="2:4" x14ac:dyDescent="0.45">
      <c r="B38" s="1">
        <v>28</v>
      </c>
      <c r="C38" s="9"/>
      <c r="D38" s="2"/>
    </row>
    <row r="39" spans="2:4" x14ac:dyDescent="0.45">
      <c r="B39" s="1">
        <v>29</v>
      </c>
      <c r="C39" s="9"/>
      <c r="D39" s="2"/>
    </row>
    <row r="40" spans="2:4" x14ac:dyDescent="0.45">
      <c r="B40" s="1">
        <v>30</v>
      </c>
      <c r="C40" s="9"/>
      <c r="D40" s="2"/>
    </row>
    <row r="41" spans="2:4" x14ac:dyDescent="0.45">
      <c r="B41" s="1">
        <v>31</v>
      </c>
      <c r="C41" s="9"/>
      <c r="D41" s="2"/>
    </row>
    <row r="42" spans="2:4" x14ac:dyDescent="0.45">
      <c r="B42" s="1">
        <v>32</v>
      </c>
      <c r="C42" s="9"/>
      <c r="D42" s="2"/>
    </row>
    <row r="43" spans="2:4" x14ac:dyDescent="0.45">
      <c r="B43" s="1">
        <v>33</v>
      </c>
      <c r="C43" s="9"/>
      <c r="D43" s="2"/>
    </row>
    <row r="44" spans="2:4" x14ac:dyDescent="0.45">
      <c r="B44" s="1">
        <v>34</v>
      </c>
      <c r="C44" s="9"/>
      <c r="D44" s="2"/>
    </row>
    <row r="45" spans="2:4" x14ac:dyDescent="0.45">
      <c r="B45" s="1">
        <v>35</v>
      </c>
      <c r="C45" s="9"/>
      <c r="D45" s="2"/>
    </row>
    <row r="46" spans="2:4" x14ac:dyDescent="0.45">
      <c r="B46" s="1">
        <v>36</v>
      </c>
      <c r="C46" s="9"/>
      <c r="D46" s="2"/>
    </row>
    <row r="47" spans="2:4" x14ac:dyDescent="0.45">
      <c r="B47" s="1">
        <v>37</v>
      </c>
      <c r="C47" s="9"/>
      <c r="D47" s="2"/>
    </row>
    <row r="48" spans="2:4" x14ac:dyDescent="0.45">
      <c r="B48" s="1">
        <v>38</v>
      </c>
      <c r="C48" s="9"/>
      <c r="D48" s="2"/>
    </row>
    <row r="49" spans="2:4" x14ac:dyDescent="0.45">
      <c r="B49" s="1">
        <v>39</v>
      </c>
      <c r="C49" s="9"/>
      <c r="D49" s="2"/>
    </row>
    <row r="50" spans="2:4" x14ac:dyDescent="0.45">
      <c r="B50" s="1">
        <v>40</v>
      </c>
      <c r="C50" s="9"/>
      <c r="D50" s="2"/>
    </row>
    <row r="51" spans="2:4" x14ac:dyDescent="0.45">
      <c r="B51" s="1">
        <v>41</v>
      </c>
      <c r="C51" s="9"/>
      <c r="D51" s="2"/>
    </row>
    <row r="52" spans="2:4" x14ac:dyDescent="0.45">
      <c r="B52" s="1">
        <v>42</v>
      </c>
      <c r="C52" s="9"/>
      <c r="D52" s="2"/>
    </row>
    <row r="53" spans="2:4" x14ac:dyDescent="0.45">
      <c r="B53" s="1">
        <v>43</v>
      </c>
      <c r="C53" s="9"/>
      <c r="D53" s="2"/>
    </row>
    <row r="54" spans="2:4" x14ac:dyDescent="0.45">
      <c r="B54" s="1">
        <v>44</v>
      </c>
      <c r="C54" s="9"/>
      <c r="D54" s="2"/>
    </row>
    <row r="55" spans="2:4" x14ac:dyDescent="0.45">
      <c r="B55" s="1">
        <v>45</v>
      </c>
      <c r="C55" s="9"/>
      <c r="D55" s="2"/>
    </row>
    <row r="56" spans="2:4" x14ac:dyDescent="0.45">
      <c r="B56" s="1">
        <v>46</v>
      </c>
      <c r="C56" s="9"/>
      <c r="D56" s="2"/>
    </row>
    <row r="57" spans="2:4" x14ac:dyDescent="0.45">
      <c r="B57" s="1">
        <v>47</v>
      </c>
      <c r="C57" s="9"/>
      <c r="D57" s="2"/>
    </row>
    <row r="58" spans="2:4" x14ac:dyDescent="0.45">
      <c r="B58" s="1">
        <v>48</v>
      </c>
      <c r="C58" s="9"/>
      <c r="D58" s="2"/>
    </row>
    <row r="59" spans="2:4" x14ac:dyDescent="0.45">
      <c r="B59" s="1">
        <v>49</v>
      </c>
      <c r="C59" s="9"/>
      <c r="D59" s="2"/>
    </row>
    <row r="60" spans="2:4" x14ac:dyDescent="0.45">
      <c r="B60" s="1">
        <v>50</v>
      </c>
      <c r="C60" s="9"/>
      <c r="D60" s="2"/>
    </row>
    <row r="61" spans="2:4" x14ac:dyDescent="0.45">
      <c r="B61" s="1">
        <v>51</v>
      </c>
      <c r="C61" s="9"/>
      <c r="D61" s="2"/>
    </row>
    <row r="62" spans="2:4" x14ac:dyDescent="0.45">
      <c r="B62" s="1">
        <v>52</v>
      </c>
      <c r="C62" s="9"/>
      <c r="D62" s="2"/>
    </row>
    <row r="63" spans="2:4" x14ac:dyDescent="0.45">
      <c r="B63" s="1">
        <v>53</v>
      </c>
      <c r="C63" s="9"/>
      <c r="D63" s="2"/>
    </row>
    <row r="64" spans="2:4" x14ac:dyDescent="0.45">
      <c r="B64" s="1">
        <v>54</v>
      </c>
      <c r="C64" s="9"/>
      <c r="D64" s="2"/>
    </row>
    <row r="65" spans="2:4" x14ac:dyDescent="0.45">
      <c r="B65" s="1">
        <v>55</v>
      </c>
      <c r="C65" s="9"/>
      <c r="D65" s="2"/>
    </row>
    <row r="66" spans="2:4" x14ac:dyDescent="0.45">
      <c r="B66" s="1">
        <v>56</v>
      </c>
      <c r="C66" s="9"/>
      <c r="D66" s="2"/>
    </row>
    <row r="67" spans="2:4" x14ac:dyDescent="0.45">
      <c r="B67" s="1">
        <v>57</v>
      </c>
      <c r="C67" s="9"/>
      <c r="D67" s="2"/>
    </row>
    <row r="68" spans="2:4" x14ac:dyDescent="0.45">
      <c r="B68" s="1">
        <v>58</v>
      </c>
      <c r="C68" s="9"/>
      <c r="D68" s="2"/>
    </row>
    <row r="69" spans="2:4" x14ac:dyDescent="0.45">
      <c r="B69" s="1">
        <v>59</v>
      </c>
      <c r="C69" s="9"/>
      <c r="D69" s="2"/>
    </row>
    <row r="70" spans="2:4" x14ac:dyDescent="0.45">
      <c r="B70" s="1">
        <v>60</v>
      </c>
      <c r="C70" s="9"/>
      <c r="D70" s="2"/>
    </row>
    <row r="71" spans="2:4" x14ac:dyDescent="0.45">
      <c r="B71" s="1">
        <v>61</v>
      </c>
      <c r="C71" s="9"/>
      <c r="D71" s="2"/>
    </row>
    <row r="72" spans="2:4" x14ac:dyDescent="0.45">
      <c r="B72" s="1">
        <v>62</v>
      </c>
      <c r="C72" s="9"/>
      <c r="D72" s="2"/>
    </row>
    <row r="73" spans="2:4" x14ac:dyDescent="0.45">
      <c r="B73" s="1">
        <v>63</v>
      </c>
      <c r="C73" s="9"/>
      <c r="D73" s="2"/>
    </row>
    <row r="74" spans="2:4" x14ac:dyDescent="0.45">
      <c r="B74" s="1">
        <v>64</v>
      </c>
      <c r="C74" s="9"/>
      <c r="D74" s="2"/>
    </row>
    <row r="75" spans="2:4" x14ac:dyDescent="0.45">
      <c r="B75" s="1">
        <v>65</v>
      </c>
      <c r="C75" s="9"/>
      <c r="D75" s="2"/>
    </row>
    <row r="76" spans="2:4" x14ac:dyDescent="0.45">
      <c r="B76" s="1">
        <v>66</v>
      </c>
      <c r="C76" s="9"/>
      <c r="D76" s="2"/>
    </row>
    <row r="77" spans="2:4" x14ac:dyDescent="0.45">
      <c r="B77" s="1">
        <v>67</v>
      </c>
      <c r="C77" s="9"/>
      <c r="D77" s="2"/>
    </row>
    <row r="78" spans="2:4" x14ac:dyDescent="0.45">
      <c r="B78" s="1">
        <v>68</v>
      </c>
      <c r="C78" s="9"/>
      <c r="D78" s="2"/>
    </row>
    <row r="79" spans="2:4" x14ac:dyDescent="0.45">
      <c r="B79" s="1">
        <v>69</v>
      </c>
      <c r="C79" s="9"/>
      <c r="D79" s="2"/>
    </row>
    <row r="80" spans="2:4" x14ac:dyDescent="0.45">
      <c r="B80" s="1">
        <v>70</v>
      </c>
      <c r="C80" s="9"/>
      <c r="D80" s="2"/>
    </row>
    <row r="81" spans="2:4" x14ac:dyDescent="0.45">
      <c r="B81" s="1">
        <v>71</v>
      </c>
      <c r="C81" s="9"/>
      <c r="D81" s="2"/>
    </row>
    <row r="82" spans="2:4" x14ac:dyDescent="0.45">
      <c r="B82" s="1">
        <v>72</v>
      </c>
      <c r="C82" s="9"/>
      <c r="D82" s="2"/>
    </row>
    <row r="83" spans="2:4" x14ac:dyDescent="0.45">
      <c r="B83" s="1">
        <v>73</v>
      </c>
      <c r="C83" s="9"/>
      <c r="D83" s="2"/>
    </row>
    <row r="84" spans="2:4" x14ac:dyDescent="0.45">
      <c r="B84" s="1">
        <v>74</v>
      </c>
      <c r="C84" s="9"/>
      <c r="D84" s="2"/>
    </row>
    <row r="85" spans="2:4" x14ac:dyDescent="0.45">
      <c r="B85" s="1">
        <v>75</v>
      </c>
      <c r="C85" s="9"/>
      <c r="D85" s="2"/>
    </row>
    <row r="86" spans="2:4" x14ac:dyDescent="0.45">
      <c r="B86" s="1">
        <v>76</v>
      </c>
      <c r="C86" s="9"/>
      <c r="D86" s="2"/>
    </row>
    <row r="87" spans="2:4" x14ac:dyDescent="0.45">
      <c r="B87" s="1">
        <v>77</v>
      </c>
      <c r="C87" s="9"/>
      <c r="D87" s="2"/>
    </row>
    <row r="88" spans="2:4" x14ac:dyDescent="0.45">
      <c r="B88" s="1">
        <v>78</v>
      </c>
      <c r="C88" s="9"/>
      <c r="D88" s="2"/>
    </row>
    <row r="89" spans="2:4" x14ac:dyDescent="0.45">
      <c r="B89" s="1">
        <v>79</v>
      </c>
      <c r="C89" s="9"/>
      <c r="D89" s="2"/>
    </row>
    <row r="90" spans="2:4" x14ac:dyDescent="0.45">
      <c r="B90" s="1">
        <v>80</v>
      </c>
      <c r="C90" s="9"/>
      <c r="D90" s="2"/>
    </row>
    <row r="91" spans="2:4" x14ac:dyDescent="0.45">
      <c r="B91" s="1">
        <v>81</v>
      </c>
      <c r="C91" s="9"/>
      <c r="D91" s="2"/>
    </row>
    <row r="92" spans="2:4" x14ac:dyDescent="0.45">
      <c r="B92" s="1">
        <v>82</v>
      </c>
      <c r="C92" s="9"/>
      <c r="D92" s="2"/>
    </row>
    <row r="93" spans="2:4" x14ac:dyDescent="0.45">
      <c r="B93" s="1">
        <v>83</v>
      </c>
      <c r="C93" s="9"/>
      <c r="D93" s="2"/>
    </row>
    <row r="94" spans="2:4" x14ac:dyDescent="0.45">
      <c r="B94" s="1">
        <v>84</v>
      </c>
      <c r="C94" s="9"/>
      <c r="D94" s="2"/>
    </row>
    <row r="95" spans="2:4" x14ac:dyDescent="0.45">
      <c r="B95" s="1">
        <v>85</v>
      </c>
      <c r="C95" s="9"/>
      <c r="D95" s="2"/>
    </row>
    <row r="96" spans="2:4" x14ac:dyDescent="0.45">
      <c r="B96" s="1">
        <v>86</v>
      </c>
      <c r="C96" s="9"/>
      <c r="D96" s="2"/>
    </row>
    <row r="97" spans="2:4" x14ac:dyDescent="0.45">
      <c r="B97" s="1">
        <v>87</v>
      </c>
      <c r="C97" s="9"/>
      <c r="D97" s="2"/>
    </row>
    <row r="98" spans="2:4" x14ac:dyDescent="0.45">
      <c r="B98" s="1">
        <v>88</v>
      </c>
      <c r="C98" s="9"/>
      <c r="D98" s="2"/>
    </row>
    <row r="99" spans="2:4" x14ac:dyDescent="0.45">
      <c r="B99" s="1">
        <v>89</v>
      </c>
      <c r="C99" s="9"/>
      <c r="D99" s="2"/>
    </row>
    <row r="100" spans="2:4" x14ac:dyDescent="0.45">
      <c r="B100" s="1">
        <v>90</v>
      </c>
      <c r="C100" s="9"/>
      <c r="D100" s="2"/>
    </row>
    <row r="101" spans="2:4" x14ac:dyDescent="0.45">
      <c r="B101" s="1">
        <v>91</v>
      </c>
      <c r="C101" s="9"/>
      <c r="D101" s="2"/>
    </row>
    <row r="102" spans="2:4" x14ac:dyDescent="0.45">
      <c r="B102" s="1">
        <v>92</v>
      </c>
      <c r="C102" s="9"/>
      <c r="D102" s="2"/>
    </row>
    <row r="103" spans="2:4" x14ac:dyDescent="0.45">
      <c r="B103" s="1">
        <v>93</v>
      </c>
      <c r="C103" s="9"/>
      <c r="D103" s="2"/>
    </row>
    <row r="104" spans="2:4" x14ac:dyDescent="0.45">
      <c r="B104" s="1">
        <v>94</v>
      </c>
      <c r="C104" s="9"/>
      <c r="D104" s="2"/>
    </row>
    <row r="105" spans="2:4" x14ac:dyDescent="0.45">
      <c r="B105" s="1">
        <v>95</v>
      </c>
      <c r="C105" s="9"/>
      <c r="D105" s="2"/>
    </row>
    <row r="106" spans="2:4" x14ac:dyDescent="0.45">
      <c r="B106" s="1">
        <v>96</v>
      </c>
      <c r="C106" s="9"/>
      <c r="D106" s="2"/>
    </row>
    <row r="107" spans="2:4" x14ac:dyDescent="0.45">
      <c r="B107" s="1">
        <v>97</v>
      </c>
      <c r="C107" s="9"/>
      <c r="D107" s="2"/>
    </row>
    <row r="108" spans="2:4" x14ac:dyDescent="0.45">
      <c r="B108" s="1">
        <v>98</v>
      </c>
      <c r="C108" s="9"/>
      <c r="D108" s="2"/>
    </row>
    <row r="109" spans="2:4" x14ac:dyDescent="0.45">
      <c r="B109" s="1">
        <v>99</v>
      </c>
      <c r="C109" s="9"/>
      <c r="D109" s="2"/>
    </row>
    <row r="110" spans="2:4" ht="18.600000000000001" thickBot="1" x14ac:dyDescent="0.5">
      <c r="B110" s="3">
        <v>100</v>
      </c>
      <c r="C110" s="9"/>
      <c r="D110" s="2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6E195-801D-4335-83F0-EEB66A6BEACB}">
  <sheetPr>
    <tabColor rgb="FFFF0000"/>
  </sheetPr>
  <dimension ref="B8:G110"/>
  <sheetViews>
    <sheetView workbookViewId="0">
      <selection activeCell="B9" sqref="B9"/>
    </sheetView>
  </sheetViews>
  <sheetFormatPr defaultRowHeight="18" x14ac:dyDescent="0.45"/>
  <sheetData>
    <row r="8" spans="2:7" ht="18.600000000000001" thickBot="1" x14ac:dyDescent="0.5"/>
    <row r="9" spans="2:7" ht="18.600000000000001" thickBot="1" x14ac:dyDescent="0.5">
      <c r="B9" s="6" t="s">
        <v>0</v>
      </c>
      <c r="C9" s="8" t="s">
        <v>1</v>
      </c>
      <c r="D9" s="7" t="s">
        <v>2</v>
      </c>
      <c r="F9" s="11" t="s">
        <v>3</v>
      </c>
      <c r="G9" s="5">
        <v>31</v>
      </c>
    </row>
    <row r="10" spans="2:7" x14ac:dyDescent="0.45">
      <c r="B10" s="1">
        <v>0</v>
      </c>
      <c r="C10" s="9">
        <f>COS(2*PI()*B10*$G$9/100)</f>
        <v>1</v>
      </c>
      <c r="D10" s="2">
        <f>SIN(2*PI()*B10*$G$9/100)</f>
        <v>0</v>
      </c>
    </row>
    <row r="11" spans="2:7" x14ac:dyDescent="0.45">
      <c r="B11" s="1">
        <v>1</v>
      </c>
      <c r="C11" s="9">
        <f t="shared" ref="C11:C74" si="0">COS(2*PI()*B11*$G$9/100)</f>
        <v>-0.36812455268467775</v>
      </c>
      <c r="D11" s="2">
        <f t="shared" ref="D11:D74" si="1">SIN(2*PI()*B11*$G$9/100)</f>
        <v>0.92977648588825146</v>
      </c>
    </row>
    <row r="12" spans="2:7" x14ac:dyDescent="0.45">
      <c r="B12" s="1">
        <v>2</v>
      </c>
      <c r="C12" s="9">
        <f t="shared" si="0"/>
        <v>-0.72896862742141177</v>
      </c>
      <c r="D12" s="2">
        <f t="shared" si="1"/>
        <v>-0.68454710592868839</v>
      </c>
    </row>
    <row r="13" spans="2:7" x14ac:dyDescent="0.45">
      <c r="B13" s="1">
        <v>3</v>
      </c>
      <c r="C13" s="9">
        <f t="shared" si="0"/>
        <v>0.90482705246601935</v>
      </c>
      <c r="D13" s="2">
        <f t="shared" si="1"/>
        <v>-0.42577929156507299</v>
      </c>
    </row>
    <row r="14" spans="2:7" x14ac:dyDescent="0.45">
      <c r="B14" s="1">
        <v>4</v>
      </c>
      <c r="C14" s="9">
        <f t="shared" si="0"/>
        <v>6.2790519529314207E-2</v>
      </c>
      <c r="D14" s="2">
        <f t="shared" si="1"/>
        <v>0.99802672842827156</v>
      </c>
    </row>
    <row r="15" spans="2:7" x14ac:dyDescent="0.45">
      <c r="B15" s="1">
        <v>5</v>
      </c>
      <c r="C15" s="9">
        <f t="shared" si="0"/>
        <v>-0.95105651629515364</v>
      </c>
      <c r="D15" s="2">
        <f t="shared" si="1"/>
        <v>-0.30901699437494706</v>
      </c>
    </row>
    <row r="16" spans="2:7" x14ac:dyDescent="0.45">
      <c r="B16" s="1">
        <v>6</v>
      </c>
      <c r="C16" s="9">
        <f t="shared" si="0"/>
        <v>0.63742398974868908</v>
      </c>
      <c r="D16" s="2">
        <f t="shared" si="1"/>
        <v>-0.7705132427757897</v>
      </c>
    </row>
    <row r="17" spans="2:4" x14ac:dyDescent="0.45">
      <c r="B17" s="1">
        <v>7</v>
      </c>
      <c r="C17" s="9">
        <f t="shared" si="0"/>
        <v>0.48175367410171638</v>
      </c>
      <c r="D17" s="2">
        <f t="shared" si="1"/>
        <v>0.87630668004386303</v>
      </c>
    </row>
    <row r="18" spans="2:4" x14ac:dyDescent="0.45">
      <c r="B18" s="1">
        <v>8</v>
      </c>
      <c r="C18" s="9">
        <f t="shared" si="0"/>
        <v>-0.99211470131447765</v>
      </c>
      <c r="D18" s="2">
        <f t="shared" si="1"/>
        <v>0.1253332335643059</v>
      </c>
    </row>
    <row r="19" spans="2:4" x14ac:dyDescent="0.45">
      <c r="B19" s="1">
        <v>9</v>
      </c>
      <c r="C19" s="9">
        <f t="shared" si="0"/>
        <v>0.24868988716485446</v>
      </c>
      <c r="D19" s="2">
        <f t="shared" si="1"/>
        <v>-0.96858316112863119</v>
      </c>
    </row>
    <row r="20" spans="2:4" x14ac:dyDescent="0.45">
      <c r="B20" s="1">
        <v>10</v>
      </c>
      <c r="C20" s="9">
        <f t="shared" si="0"/>
        <v>0.8090169943749479</v>
      </c>
      <c r="D20" s="2">
        <f t="shared" si="1"/>
        <v>0.58778525229247247</v>
      </c>
    </row>
    <row r="21" spans="2:4" x14ac:dyDescent="0.45">
      <c r="B21" s="1">
        <v>11</v>
      </c>
      <c r="C21" s="9">
        <f t="shared" si="0"/>
        <v>-0.84432792550201252</v>
      </c>
      <c r="D21" s="2">
        <f t="shared" si="1"/>
        <v>0.53582679497900065</v>
      </c>
    </row>
    <row r="22" spans="2:4" x14ac:dyDescent="0.45">
      <c r="B22" s="1">
        <v>12</v>
      </c>
      <c r="C22" s="9">
        <f t="shared" si="0"/>
        <v>-0.18738131458572621</v>
      </c>
      <c r="D22" s="2">
        <f t="shared" si="1"/>
        <v>-0.98228725072868839</v>
      </c>
    </row>
    <row r="23" spans="2:4" x14ac:dyDescent="0.45">
      <c r="B23" s="1">
        <v>13</v>
      </c>
      <c r="C23" s="9">
        <f t="shared" si="0"/>
        <v>0.98228725072868839</v>
      </c>
      <c r="D23" s="2">
        <f t="shared" si="1"/>
        <v>0.1873813145857261</v>
      </c>
    </row>
    <row r="24" spans="2:4" x14ac:dyDescent="0.45">
      <c r="B24" s="1">
        <v>14</v>
      </c>
      <c r="C24" s="9">
        <f t="shared" si="0"/>
        <v>-0.53582679497899455</v>
      </c>
      <c r="D24" s="2">
        <f t="shared" si="1"/>
        <v>0.84432792550201641</v>
      </c>
    </row>
    <row r="25" spans="2:4" x14ac:dyDescent="0.45">
      <c r="B25" s="1">
        <v>15</v>
      </c>
      <c r="C25" s="9">
        <f t="shared" si="0"/>
        <v>-0.58778525229247547</v>
      </c>
      <c r="D25" s="2">
        <f t="shared" si="1"/>
        <v>-0.80901699437494567</v>
      </c>
    </row>
    <row r="26" spans="2:4" x14ac:dyDescent="0.45">
      <c r="B26" s="1">
        <v>16</v>
      </c>
      <c r="C26" s="9">
        <f t="shared" si="0"/>
        <v>0.9685831611286303</v>
      </c>
      <c r="D26" s="2">
        <f t="shared" si="1"/>
        <v>-0.24868988716485804</v>
      </c>
    </row>
    <row r="27" spans="2:4" x14ac:dyDescent="0.45">
      <c r="B27" s="1">
        <v>17</v>
      </c>
      <c r="C27" s="9">
        <f t="shared" si="0"/>
        <v>-0.12533323356430401</v>
      </c>
      <c r="D27" s="2">
        <f t="shared" si="1"/>
        <v>0.99211470131447788</v>
      </c>
    </row>
    <row r="28" spans="2:4" x14ac:dyDescent="0.45">
      <c r="B28" s="1">
        <v>18</v>
      </c>
      <c r="C28" s="9">
        <f t="shared" si="0"/>
        <v>-0.87630668004386392</v>
      </c>
      <c r="D28" s="2">
        <f t="shared" si="1"/>
        <v>-0.48175367410171471</v>
      </c>
    </row>
    <row r="29" spans="2:4" x14ac:dyDescent="0.45">
      <c r="B29" s="1">
        <v>19</v>
      </c>
      <c r="C29" s="9">
        <f t="shared" si="0"/>
        <v>0.77051324277578859</v>
      </c>
      <c r="D29" s="2">
        <f t="shared" si="1"/>
        <v>-0.63742398974869052</v>
      </c>
    </row>
    <row r="30" spans="2:4" x14ac:dyDescent="0.45">
      <c r="B30" s="1">
        <v>20</v>
      </c>
      <c r="C30" s="9">
        <f t="shared" si="0"/>
        <v>0.30901699437494889</v>
      </c>
      <c r="D30" s="2">
        <f t="shared" si="1"/>
        <v>0.95105651629515309</v>
      </c>
    </row>
    <row r="31" spans="2:4" x14ac:dyDescent="0.45">
      <c r="B31" s="1">
        <v>21</v>
      </c>
      <c r="C31" s="9">
        <f t="shared" si="0"/>
        <v>-0.99802672842827167</v>
      </c>
      <c r="D31" s="2">
        <f t="shared" si="1"/>
        <v>-6.2790519529311431E-2</v>
      </c>
    </row>
    <row r="32" spans="2:4" x14ac:dyDescent="0.45">
      <c r="B32" s="1">
        <v>22</v>
      </c>
      <c r="C32" s="9">
        <f t="shared" si="0"/>
        <v>0.42577929156506406</v>
      </c>
      <c r="D32" s="2">
        <f t="shared" si="1"/>
        <v>-0.90482705246602357</v>
      </c>
    </row>
    <row r="33" spans="2:4" x14ac:dyDescent="0.45">
      <c r="B33" s="1">
        <v>23</v>
      </c>
      <c r="C33" s="9">
        <f t="shared" si="0"/>
        <v>0.68454710592869072</v>
      </c>
      <c r="D33" s="2">
        <f t="shared" si="1"/>
        <v>0.72896862742140955</v>
      </c>
    </row>
    <row r="34" spans="2:4" x14ac:dyDescent="0.45">
      <c r="B34" s="1">
        <v>24</v>
      </c>
      <c r="C34" s="9">
        <f t="shared" si="0"/>
        <v>-0.92977648588825024</v>
      </c>
      <c r="D34" s="2">
        <f t="shared" si="1"/>
        <v>0.36812455268468097</v>
      </c>
    </row>
    <row r="35" spans="2:4" x14ac:dyDescent="0.45">
      <c r="B35" s="1">
        <v>25</v>
      </c>
      <c r="C35" s="9">
        <f t="shared" si="0"/>
        <v>-3.6753369445086115E-15</v>
      </c>
      <c r="D35" s="2">
        <f t="shared" si="1"/>
        <v>-1</v>
      </c>
    </row>
    <row r="36" spans="2:4" x14ac:dyDescent="0.45">
      <c r="B36" s="1">
        <v>26</v>
      </c>
      <c r="C36" s="9">
        <f t="shared" si="0"/>
        <v>0.92977648588825035</v>
      </c>
      <c r="D36" s="2">
        <f t="shared" si="1"/>
        <v>0.36812455268468075</v>
      </c>
    </row>
    <row r="37" spans="2:4" x14ac:dyDescent="0.45">
      <c r="B37" s="1">
        <v>27</v>
      </c>
      <c r="C37" s="9">
        <f t="shared" si="0"/>
        <v>-0.6845471059286905</v>
      </c>
      <c r="D37" s="2">
        <f t="shared" si="1"/>
        <v>0.72896862742140978</v>
      </c>
    </row>
    <row r="38" spans="2:4" x14ac:dyDescent="0.45">
      <c r="B38" s="1">
        <v>28</v>
      </c>
      <c r="C38" s="9">
        <f t="shared" si="0"/>
        <v>-0.42577929156507716</v>
      </c>
      <c r="D38" s="2">
        <f t="shared" si="1"/>
        <v>-0.90482705246601747</v>
      </c>
    </row>
    <row r="39" spans="2:4" x14ac:dyDescent="0.45">
      <c r="B39" s="1">
        <v>29</v>
      </c>
      <c r="C39" s="9">
        <f t="shared" si="0"/>
        <v>0.99802672842827167</v>
      </c>
      <c r="D39" s="2">
        <f t="shared" si="1"/>
        <v>-6.2790519529311681E-2</v>
      </c>
    </row>
    <row r="40" spans="2:4" x14ac:dyDescent="0.45">
      <c r="B40" s="1">
        <v>30</v>
      </c>
      <c r="C40" s="9">
        <f t="shared" si="0"/>
        <v>-0.3090169943749419</v>
      </c>
      <c r="D40" s="2">
        <f t="shared" si="1"/>
        <v>0.95105651629515542</v>
      </c>
    </row>
    <row r="41" spans="2:4" x14ac:dyDescent="0.45">
      <c r="B41" s="1">
        <v>31</v>
      </c>
      <c r="C41" s="9">
        <f t="shared" si="0"/>
        <v>-0.7705132427757887</v>
      </c>
      <c r="D41" s="2">
        <f t="shared" si="1"/>
        <v>-0.63742398974869041</v>
      </c>
    </row>
    <row r="42" spans="2:4" x14ac:dyDescent="0.45">
      <c r="B42" s="1">
        <v>32</v>
      </c>
      <c r="C42" s="9">
        <f t="shared" si="0"/>
        <v>0.87630668004386036</v>
      </c>
      <c r="D42" s="2">
        <f t="shared" si="1"/>
        <v>-0.48175367410172115</v>
      </c>
    </row>
    <row r="43" spans="2:4" x14ac:dyDescent="0.45">
      <c r="B43" s="1">
        <v>33</v>
      </c>
      <c r="C43" s="9">
        <f t="shared" si="0"/>
        <v>0.12533323356430426</v>
      </c>
      <c r="D43" s="2">
        <f t="shared" si="1"/>
        <v>0.99211470131447788</v>
      </c>
    </row>
    <row r="44" spans="2:4" x14ac:dyDescent="0.45">
      <c r="B44" s="1">
        <v>34</v>
      </c>
      <c r="C44" s="9">
        <f t="shared" si="0"/>
        <v>-0.96858316112863119</v>
      </c>
      <c r="D44" s="2">
        <f t="shared" si="1"/>
        <v>-0.24868988716485435</v>
      </c>
    </row>
    <row r="45" spans="2:4" x14ac:dyDescent="0.45">
      <c r="B45" s="1">
        <v>35</v>
      </c>
      <c r="C45" s="9">
        <f t="shared" si="0"/>
        <v>0.58778525229246092</v>
      </c>
      <c r="D45" s="2">
        <f t="shared" si="1"/>
        <v>-0.80901699437495633</v>
      </c>
    </row>
    <row r="46" spans="2:4" x14ac:dyDescent="0.45">
      <c r="B46" s="1">
        <v>36</v>
      </c>
      <c r="C46" s="9">
        <f t="shared" si="0"/>
        <v>0.53582679497899777</v>
      </c>
      <c r="D46" s="2">
        <f t="shared" si="1"/>
        <v>0.84432792550201441</v>
      </c>
    </row>
    <row r="47" spans="2:4" x14ac:dyDescent="0.45">
      <c r="B47" s="1">
        <v>37</v>
      </c>
      <c r="C47" s="9">
        <f t="shared" si="0"/>
        <v>-0.98228725072868839</v>
      </c>
      <c r="D47" s="2">
        <f t="shared" si="1"/>
        <v>0.18738131458572635</v>
      </c>
    </row>
    <row r="48" spans="2:4" x14ac:dyDescent="0.45">
      <c r="B48" s="1">
        <v>38</v>
      </c>
      <c r="C48" s="9">
        <f t="shared" si="0"/>
        <v>0.18738131458572249</v>
      </c>
      <c r="D48" s="2">
        <f t="shared" si="1"/>
        <v>-0.98228725072868905</v>
      </c>
    </row>
    <row r="49" spans="2:4" x14ac:dyDescent="0.45">
      <c r="B49" s="1">
        <v>39</v>
      </c>
      <c r="C49" s="9">
        <f t="shared" si="0"/>
        <v>0.84432792550201652</v>
      </c>
      <c r="D49" s="2">
        <f t="shared" si="1"/>
        <v>0.53582679497899444</v>
      </c>
    </row>
    <row r="50" spans="2:4" x14ac:dyDescent="0.45">
      <c r="B50" s="1">
        <v>40</v>
      </c>
      <c r="C50" s="9">
        <f t="shared" si="0"/>
        <v>-0.80901699437494567</v>
      </c>
      <c r="D50" s="2">
        <f t="shared" si="1"/>
        <v>0.58778525229247558</v>
      </c>
    </row>
    <row r="51" spans="2:4" x14ac:dyDescent="0.45">
      <c r="B51" s="1">
        <v>41</v>
      </c>
      <c r="C51" s="9">
        <f t="shared" si="0"/>
        <v>-0.24868988716485815</v>
      </c>
      <c r="D51" s="2">
        <f t="shared" si="1"/>
        <v>-0.9685831611286303</v>
      </c>
    </row>
    <row r="52" spans="2:4" x14ac:dyDescent="0.45">
      <c r="B52" s="1">
        <v>42</v>
      </c>
      <c r="C52" s="9">
        <f t="shared" si="0"/>
        <v>0.99211470131447832</v>
      </c>
      <c r="D52" s="2">
        <f t="shared" si="1"/>
        <v>0.12533323356430037</v>
      </c>
    </row>
    <row r="53" spans="2:4" x14ac:dyDescent="0.45">
      <c r="B53" s="1">
        <v>43</v>
      </c>
      <c r="C53" s="9">
        <f t="shared" si="0"/>
        <v>-0.48175367410171149</v>
      </c>
      <c r="D53" s="2">
        <f t="shared" si="1"/>
        <v>0.87630668004386569</v>
      </c>
    </row>
    <row r="54" spans="2:4" x14ac:dyDescent="0.45">
      <c r="B54" s="1">
        <v>44</v>
      </c>
      <c r="C54" s="9">
        <f t="shared" si="0"/>
        <v>-0.63742398974870429</v>
      </c>
      <c r="D54" s="2">
        <f t="shared" si="1"/>
        <v>-0.77051324277577715</v>
      </c>
    </row>
    <row r="55" spans="2:4" x14ac:dyDescent="0.45">
      <c r="B55" s="1">
        <v>45</v>
      </c>
      <c r="C55" s="9">
        <f t="shared" si="0"/>
        <v>0.95105651629515198</v>
      </c>
      <c r="D55" s="2">
        <f t="shared" si="1"/>
        <v>-0.30901699437495239</v>
      </c>
    </row>
    <row r="56" spans="2:4" x14ac:dyDescent="0.45">
      <c r="B56" s="1">
        <v>46</v>
      </c>
      <c r="C56" s="9">
        <f t="shared" si="0"/>
        <v>-6.2790519529307767E-2</v>
      </c>
      <c r="D56" s="2">
        <f t="shared" si="1"/>
        <v>0.99802672842827189</v>
      </c>
    </row>
    <row r="57" spans="2:4" x14ac:dyDescent="0.45">
      <c r="B57" s="1">
        <v>47</v>
      </c>
      <c r="C57" s="9">
        <f t="shared" si="0"/>
        <v>-0.90482705246601602</v>
      </c>
      <c r="D57" s="2">
        <f t="shared" si="1"/>
        <v>-0.42577929156508004</v>
      </c>
    </row>
    <row r="58" spans="2:4" x14ac:dyDescent="0.45">
      <c r="B58" s="1">
        <v>48</v>
      </c>
      <c r="C58" s="9">
        <f t="shared" si="0"/>
        <v>0.72896862742140711</v>
      </c>
      <c r="D58" s="2">
        <f t="shared" si="1"/>
        <v>-0.68454710592869339</v>
      </c>
    </row>
    <row r="59" spans="2:4" x14ac:dyDescent="0.45">
      <c r="B59" s="1">
        <v>49</v>
      </c>
      <c r="C59" s="9">
        <f t="shared" si="0"/>
        <v>0.36812455268468441</v>
      </c>
      <c r="D59" s="2">
        <f t="shared" si="1"/>
        <v>0.9297764858882489</v>
      </c>
    </row>
    <row r="60" spans="2:4" x14ac:dyDescent="0.45">
      <c r="B60" s="1">
        <v>50</v>
      </c>
      <c r="C60" s="9">
        <f t="shared" si="0"/>
        <v>-1</v>
      </c>
      <c r="D60" s="2">
        <f t="shared" si="1"/>
        <v>7.350673889017223E-15</v>
      </c>
    </row>
    <row r="61" spans="2:4" x14ac:dyDescent="0.45">
      <c r="B61" s="1">
        <v>51</v>
      </c>
      <c r="C61" s="9">
        <f t="shared" si="0"/>
        <v>0.36812455268468391</v>
      </c>
      <c r="D61" s="2">
        <f t="shared" si="1"/>
        <v>-0.92977648588824902</v>
      </c>
    </row>
    <row r="62" spans="2:4" x14ac:dyDescent="0.45">
      <c r="B62" s="1">
        <v>52</v>
      </c>
      <c r="C62" s="9">
        <f t="shared" si="0"/>
        <v>0.72896862742140744</v>
      </c>
      <c r="D62" s="2">
        <f t="shared" si="1"/>
        <v>0.68454710592869306</v>
      </c>
    </row>
    <row r="63" spans="2:4" x14ac:dyDescent="0.45">
      <c r="B63" s="1">
        <v>53</v>
      </c>
      <c r="C63" s="9">
        <f t="shared" si="0"/>
        <v>-0.9048270524660158</v>
      </c>
      <c r="D63" s="2">
        <f t="shared" si="1"/>
        <v>0.42577929156508049</v>
      </c>
    </row>
    <row r="64" spans="2:4" x14ac:dyDescent="0.45">
      <c r="B64" s="1">
        <v>54</v>
      </c>
      <c r="C64" s="9">
        <f t="shared" si="0"/>
        <v>-6.2790519529308253E-2</v>
      </c>
      <c r="D64" s="2">
        <f t="shared" si="1"/>
        <v>-0.99802672842827189</v>
      </c>
    </row>
    <row r="65" spans="2:4" x14ac:dyDescent="0.45">
      <c r="B65" s="1">
        <v>55</v>
      </c>
      <c r="C65" s="9">
        <f t="shared" si="0"/>
        <v>0.95105651629515209</v>
      </c>
      <c r="D65" s="2">
        <f t="shared" si="1"/>
        <v>0.30901699437495189</v>
      </c>
    </row>
    <row r="66" spans="2:4" x14ac:dyDescent="0.45">
      <c r="B66" s="1">
        <v>56</v>
      </c>
      <c r="C66" s="9">
        <f t="shared" si="0"/>
        <v>-0.63742398974868208</v>
      </c>
      <c r="D66" s="2">
        <f t="shared" si="1"/>
        <v>0.77051324277579558</v>
      </c>
    </row>
    <row r="67" spans="2:4" x14ac:dyDescent="0.45">
      <c r="B67" s="1">
        <v>57</v>
      </c>
      <c r="C67" s="9">
        <f t="shared" si="0"/>
        <v>-0.48175367410172437</v>
      </c>
      <c r="D67" s="2">
        <f t="shared" si="1"/>
        <v>-0.87630668004385859</v>
      </c>
    </row>
    <row r="68" spans="2:4" x14ac:dyDescent="0.45">
      <c r="B68" s="1">
        <v>58</v>
      </c>
      <c r="C68" s="9">
        <f t="shared" si="0"/>
        <v>0.99211470131447821</v>
      </c>
      <c r="D68" s="2">
        <f t="shared" si="1"/>
        <v>-0.12533323356430087</v>
      </c>
    </row>
    <row r="69" spans="2:4" x14ac:dyDescent="0.45">
      <c r="B69" s="1">
        <v>59</v>
      </c>
      <c r="C69" s="9">
        <f t="shared" si="0"/>
        <v>-0.24868988716484391</v>
      </c>
      <c r="D69" s="2">
        <f t="shared" si="1"/>
        <v>0.96858316112863396</v>
      </c>
    </row>
    <row r="70" spans="2:4" x14ac:dyDescent="0.45">
      <c r="B70" s="1">
        <v>60</v>
      </c>
      <c r="C70" s="9">
        <f t="shared" si="0"/>
        <v>-0.80901699437495433</v>
      </c>
      <c r="D70" s="2">
        <f t="shared" si="1"/>
        <v>-0.5877852522924637</v>
      </c>
    </row>
    <row r="71" spans="2:4" x14ac:dyDescent="0.45">
      <c r="B71" s="1">
        <v>61</v>
      </c>
      <c r="C71" s="9">
        <f t="shared" si="0"/>
        <v>0.84432792550200864</v>
      </c>
      <c r="D71" s="2">
        <f t="shared" si="1"/>
        <v>-0.53582679497900687</v>
      </c>
    </row>
    <row r="72" spans="2:4" x14ac:dyDescent="0.45">
      <c r="B72" s="1">
        <v>62</v>
      </c>
      <c r="C72" s="9">
        <f t="shared" si="0"/>
        <v>0.18738131458572296</v>
      </c>
      <c r="D72" s="2">
        <f t="shared" si="1"/>
        <v>0.98228725072868894</v>
      </c>
    </row>
    <row r="73" spans="2:4" x14ac:dyDescent="0.45">
      <c r="B73" s="1">
        <v>63</v>
      </c>
      <c r="C73" s="9">
        <f t="shared" si="0"/>
        <v>-0.9822872507286885</v>
      </c>
      <c r="D73" s="2">
        <f t="shared" si="1"/>
        <v>-0.18738131458572585</v>
      </c>
    </row>
    <row r="74" spans="2:4" x14ac:dyDescent="0.45">
      <c r="B74" s="1">
        <v>64</v>
      </c>
      <c r="C74" s="9">
        <f t="shared" si="0"/>
        <v>0.53582679497898533</v>
      </c>
      <c r="D74" s="2">
        <f t="shared" si="1"/>
        <v>-0.84432792550202229</v>
      </c>
    </row>
    <row r="75" spans="2:4" x14ac:dyDescent="0.45">
      <c r="B75" s="1">
        <v>65</v>
      </c>
      <c r="C75" s="9">
        <f t="shared" ref="C75:C110" si="2">COS(2*PI()*B75*$G$9/100)</f>
        <v>0.5877852522924728</v>
      </c>
      <c r="D75" s="2">
        <f t="shared" ref="D75:D110" si="3">SIN(2*PI()*B75*$G$9/100)</f>
        <v>0.80901699437494767</v>
      </c>
    </row>
    <row r="76" spans="2:4" x14ac:dyDescent="0.45">
      <c r="B76" s="1">
        <v>66</v>
      </c>
      <c r="C76" s="9">
        <f t="shared" si="2"/>
        <v>-0.96858316112863108</v>
      </c>
      <c r="D76" s="2">
        <f t="shared" si="3"/>
        <v>0.24868988716485482</v>
      </c>
    </row>
    <row r="77" spans="2:4" x14ac:dyDescent="0.45">
      <c r="B77" s="1">
        <v>67</v>
      </c>
      <c r="C77" s="9">
        <f t="shared" si="2"/>
        <v>0.12533323356428969</v>
      </c>
      <c r="D77" s="2">
        <f t="shared" si="3"/>
        <v>-0.99211470131447965</v>
      </c>
    </row>
    <row r="78" spans="2:4" x14ac:dyDescent="0.45">
      <c r="B78" s="1">
        <v>68</v>
      </c>
      <c r="C78" s="9">
        <f t="shared" si="2"/>
        <v>0.87630668004386403</v>
      </c>
      <c r="D78" s="2">
        <f t="shared" si="3"/>
        <v>0.48175367410171449</v>
      </c>
    </row>
    <row r="79" spans="2:4" x14ac:dyDescent="0.45">
      <c r="B79" s="1">
        <v>69</v>
      </c>
      <c r="C79" s="9">
        <f t="shared" si="2"/>
        <v>-0.77051324277577937</v>
      </c>
      <c r="D79" s="2">
        <f t="shared" si="3"/>
        <v>0.63742398974870174</v>
      </c>
    </row>
    <row r="80" spans="2:4" x14ac:dyDescent="0.45">
      <c r="B80" s="1">
        <v>70</v>
      </c>
      <c r="C80" s="9">
        <f t="shared" si="2"/>
        <v>-0.30901699437497615</v>
      </c>
      <c r="D80" s="2">
        <f t="shared" si="3"/>
        <v>-0.95105651629514421</v>
      </c>
    </row>
    <row r="81" spans="2:4" x14ac:dyDescent="0.45">
      <c r="B81" s="1">
        <v>71</v>
      </c>
      <c r="C81" s="9">
        <f t="shared" si="2"/>
        <v>0.99802672842827078</v>
      </c>
      <c r="D81" s="2">
        <f t="shared" si="3"/>
        <v>6.2790519529325364E-2</v>
      </c>
    </row>
    <row r="82" spans="2:4" x14ac:dyDescent="0.45">
      <c r="B82" s="1">
        <v>72</v>
      </c>
      <c r="C82" s="9">
        <f t="shared" si="2"/>
        <v>-0.42577929156507027</v>
      </c>
      <c r="D82" s="2">
        <f t="shared" si="3"/>
        <v>0.90482705246602069</v>
      </c>
    </row>
    <row r="83" spans="2:4" x14ac:dyDescent="0.45">
      <c r="B83" s="1">
        <v>73</v>
      </c>
      <c r="C83" s="9">
        <f t="shared" si="2"/>
        <v>-0.68454710592870127</v>
      </c>
      <c r="D83" s="2">
        <f t="shared" si="3"/>
        <v>-0.72896862742139967</v>
      </c>
    </row>
    <row r="84" spans="2:4" x14ac:dyDescent="0.45">
      <c r="B84" s="1">
        <v>74</v>
      </c>
      <c r="C84" s="9">
        <f t="shared" si="2"/>
        <v>0.92977648588825013</v>
      </c>
      <c r="D84" s="2">
        <f t="shared" si="3"/>
        <v>-0.36812455268468119</v>
      </c>
    </row>
    <row r="85" spans="2:4" x14ac:dyDescent="0.45">
      <c r="B85" s="1">
        <v>75</v>
      </c>
      <c r="C85" s="9">
        <f t="shared" si="2"/>
        <v>1.8131438191126836E-14</v>
      </c>
      <c r="D85" s="2">
        <f t="shared" si="3"/>
        <v>1</v>
      </c>
    </row>
    <row r="86" spans="2:4" x14ac:dyDescent="0.45">
      <c r="B86" s="1">
        <v>76</v>
      </c>
      <c r="C86" s="9">
        <f t="shared" si="2"/>
        <v>-0.92977648588825301</v>
      </c>
      <c r="D86" s="2">
        <f t="shared" si="3"/>
        <v>-0.36812455268467392</v>
      </c>
    </row>
    <row r="87" spans="2:4" x14ac:dyDescent="0.45">
      <c r="B87" s="1">
        <v>77</v>
      </c>
      <c r="C87" s="9">
        <f t="shared" si="2"/>
        <v>0.6845471059286955</v>
      </c>
      <c r="D87" s="2">
        <f t="shared" si="3"/>
        <v>-0.72896862742140511</v>
      </c>
    </row>
    <row r="88" spans="2:4" x14ac:dyDescent="0.45">
      <c r="B88" s="1">
        <v>78</v>
      </c>
      <c r="C88" s="9">
        <f t="shared" si="2"/>
        <v>0.42577929156507738</v>
      </c>
      <c r="D88" s="2">
        <f t="shared" si="3"/>
        <v>0.90482705246601736</v>
      </c>
    </row>
    <row r="89" spans="2:4" x14ac:dyDescent="0.45">
      <c r="B89" s="1">
        <v>79</v>
      </c>
      <c r="C89" s="9">
        <f t="shared" si="2"/>
        <v>-0.99802672842827211</v>
      </c>
      <c r="D89" s="2">
        <f t="shared" si="3"/>
        <v>6.2790519529304825E-2</v>
      </c>
    </row>
    <row r="90" spans="2:4" x14ac:dyDescent="0.45">
      <c r="B90" s="1">
        <v>80</v>
      </c>
      <c r="C90" s="9">
        <f t="shared" si="2"/>
        <v>0.30901699437494162</v>
      </c>
      <c r="D90" s="2">
        <f t="shared" si="3"/>
        <v>-0.95105651629515542</v>
      </c>
    </row>
    <row r="91" spans="2:4" x14ac:dyDescent="0.45">
      <c r="B91" s="1">
        <v>81</v>
      </c>
      <c r="C91" s="9">
        <f t="shared" si="2"/>
        <v>0.77051324277580246</v>
      </c>
      <c r="D91" s="2">
        <f t="shared" si="3"/>
        <v>0.63742398974867376</v>
      </c>
    </row>
    <row r="92" spans="2:4" x14ac:dyDescent="0.45">
      <c r="B92" s="1">
        <v>82</v>
      </c>
      <c r="C92" s="9">
        <f t="shared" si="2"/>
        <v>-0.87630668004386025</v>
      </c>
      <c r="D92" s="2">
        <f t="shared" si="3"/>
        <v>0.48175367410172137</v>
      </c>
    </row>
    <row r="93" spans="2:4" x14ac:dyDescent="0.45">
      <c r="B93" s="1">
        <v>83</v>
      </c>
      <c r="C93" s="9">
        <f t="shared" si="2"/>
        <v>-0.12533323356429746</v>
      </c>
      <c r="D93" s="2">
        <f t="shared" si="3"/>
        <v>-0.99211470131447865</v>
      </c>
    </row>
    <row r="94" spans="2:4" x14ac:dyDescent="0.45">
      <c r="B94" s="1">
        <v>84</v>
      </c>
      <c r="C94" s="9">
        <f t="shared" si="2"/>
        <v>0.96858316112863307</v>
      </c>
      <c r="D94" s="2">
        <f t="shared" si="3"/>
        <v>0.24868988716484725</v>
      </c>
    </row>
    <row r="95" spans="2:4" x14ac:dyDescent="0.45">
      <c r="B95" s="1">
        <v>85</v>
      </c>
      <c r="C95" s="9">
        <f t="shared" si="2"/>
        <v>-0.58778525229245493</v>
      </c>
      <c r="D95" s="2">
        <f t="shared" si="3"/>
        <v>0.80901699437496066</v>
      </c>
    </row>
    <row r="96" spans="2:4" x14ac:dyDescent="0.45">
      <c r="B96" s="1">
        <v>86</v>
      </c>
      <c r="C96" s="9">
        <f t="shared" si="2"/>
        <v>-0.53582679497900398</v>
      </c>
      <c r="D96" s="2">
        <f t="shared" si="3"/>
        <v>-0.84432792550201041</v>
      </c>
    </row>
    <row r="97" spans="2:4" x14ac:dyDescent="0.45">
      <c r="B97" s="1">
        <v>87</v>
      </c>
      <c r="C97" s="9">
        <f t="shared" si="2"/>
        <v>0.98228725072868428</v>
      </c>
      <c r="D97" s="2">
        <f t="shared" si="3"/>
        <v>-0.18738131458574753</v>
      </c>
    </row>
    <row r="98" spans="2:4" x14ac:dyDescent="0.45">
      <c r="B98" s="1">
        <v>88</v>
      </c>
      <c r="C98" s="9">
        <f t="shared" si="2"/>
        <v>-0.18738131458568735</v>
      </c>
      <c r="D98" s="2">
        <f t="shared" si="3"/>
        <v>0.98228725072869583</v>
      </c>
    </row>
    <row r="99" spans="2:4" x14ac:dyDescent="0.45">
      <c r="B99" s="1">
        <v>89</v>
      </c>
      <c r="C99" s="9">
        <f t="shared" si="2"/>
        <v>-0.84432792550201285</v>
      </c>
      <c r="D99" s="2">
        <f t="shared" si="3"/>
        <v>-0.53582679497900021</v>
      </c>
    </row>
    <row r="100" spans="2:4" x14ac:dyDescent="0.45">
      <c r="B100" s="1">
        <v>90</v>
      </c>
      <c r="C100" s="9">
        <f t="shared" si="2"/>
        <v>0.80901699437494135</v>
      </c>
      <c r="D100" s="2">
        <f t="shared" si="3"/>
        <v>-0.58778525229248157</v>
      </c>
    </row>
    <row r="101" spans="2:4" x14ac:dyDescent="0.45">
      <c r="B101" s="1">
        <v>91</v>
      </c>
      <c r="C101" s="9">
        <f t="shared" si="2"/>
        <v>0.24868988716485149</v>
      </c>
      <c r="D101" s="2">
        <f t="shared" si="3"/>
        <v>0.96858316112863196</v>
      </c>
    </row>
    <row r="102" spans="2:4" x14ac:dyDescent="0.45">
      <c r="B102" s="1">
        <v>92</v>
      </c>
      <c r="C102" s="9">
        <f t="shared" si="2"/>
        <v>-0.99211470131447921</v>
      </c>
      <c r="D102" s="2">
        <f t="shared" si="3"/>
        <v>-0.12533323356429307</v>
      </c>
    </row>
    <row r="103" spans="2:4" x14ac:dyDescent="0.45">
      <c r="B103" s="1">
        <v>93</v>
      </c>
      <c r="C103" s="9">
        <f t="shared" si="2"/>
        <v>0.48175367410169256</v>
      </c>
      <c r="D103" s="2">
        <f t="shared" si="3"/>
        <v>-0.87630668004387602</v>
      </c>
    </row>
    <row r="104" spans="2:4" x14ac:dyDescent="0.45">
      <c r="B104" s="1">
        <v>94</v>
      </c>
      <c r="C104" s="9">
        <f t="shared" si="2"/>
        <v>0.6374239897486772</v>
      </c>
      <c r="D104" s="2">
        <f t="shared" si="3"/>
        <v>0.77051324277579958</v>
      </c>
    </row>
    <row r="105" spans="2:4" x14ac:dyDescent="0.45">
      <c r="B105" s="1">
        <v>95</v>
      </c>
      <c r="C105" s="9">
        <f t="shared" si="2"/>
        <v>-0.95105651629515409</v>
      </c>
      <c r="D105" s="2">
        <f t="shared" si="3"/>
        <v>0.30901699437494584</v>
      </c>
    </row>
    <row r="106" spans="2:4" x14ac:dyDescent="0.45">
      <c r="B106" s="1">
        <v>96</v>
      </c>
      <c r="C106" s="9">
        <f t="shared" si="2"/>
        <v>6.2790519529300426E-2</v>
      </c>
      <c r="D106" s="2">
        <f t="shared" si="3"/>
        <v>-0.99802672842827234</v>
      </c>
    </row>
    <row r="107" spans="2:4" x14ac:dyDescent="0.45">
      <c r="B107" s="1">
        <v>97</v>
      </c>
      <c r="C107" s="9">
        <f t="shared" si="2"/>
        <v>0.90482705246601913</v>
      </c>
      <c r="D107" s="2">
        <f t="shared" si="3"/>
        <v>0.42577929156507338</v>
      </c>
    </row>
    <row r="108" spans="2:4" x14ac:dyDescent="0.45">
      <c r="B108" s="1">
        <v>98</v>
      </c>
      <c r="C108" s="9">
        <f t="shared" si="2"/>
        <v>-0.728968627421402</v>
      </c>
      <c r="D108" s="2">
        <f t="shared" si="3"/>
        <v>0.68454710592869872</v>
      </c>
    </row>
    <row r="109" spans="2:4" x14ac:dyDescent="0.45">
      <c r="B109" s="1">
        <v>99</v>
      </c>
      <c r="C109" s="9">
        <f t="shared" si="2"/>
        <v>-0.36812455268467803</v>
      </c>
      <c r="D109" s="2">
        <f t="shared" si="3"/>
        <v>-0.92977648588825135</v>
      </c>
    </row>
    <row r="110" spans="2:4" ht="18.600000000000001" thickBot="1" x14ac:dyDescent="0.5">
      <c r="B110" s="3">
        <v>100</v>
      </c>
      <c r="C110" s="9">
        <f t="shared" si="2"/>
        <v>1</v>
      </c>
      <c r="D110" s="2">
        <f t="shared" si="3"/>
        <v>-1.4701347778034446E-14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0BEE-0DBE-40F6-9F2D-8DD23257A9EA}">
  <dimension ref="B8:K210"/>
  <sheetViews>
    <sheetView workbookViewId="0">
      <selection activeCell="B9" sqref="B9"/>
    </sheetView>
  </sheetViews>
  <sheetFormatPr defaultRowHeight="18" x14ac:dyDescent="0.45"/>
  <sheetData>
    <row r="8" spans="2:11" ht="18.600000000000001" thickBot="1" x14ac:dyDescent="0.5">
      <c r="B8" s="12" t="s">
        <v>8</v>
      </c>
      <c r="H8" s="12" t="s">
        <v>9</v>
      </c>
    </row>
    <row r="9" spans="2:11" ht="18.600000000000001" thickBot="1" x14ac:dyDescent="0.5">
      <c r="B9" s="6" t="s">
        <v>4</v>
      </c>
      <c r="C9" s="8" t="s">
        <v>5</v>
      </c>
      <c r="D9" s="15" t="s">
        <v>6</v>
      </c>
      <c r="E9" s="8" t="s">
        <v>7</v>
      </c>
      <c r="H9" s="6" t="s">
        <v>4</v>
      </c>
      <c r="I9" s="8" t="s">
        <v>5</v>
      </c>
      <c r="J9" s="8" t="s">
        <v>6</v>
      </c>
      <c r="K9" s="7" t="s">
        <v>7</v>
      </c>
    </row>
    <row r="10" spans="2:11" x14ac:dyDescent="0.45">
      <c r="B10" s="1">
        <v>0</v>
      </c>
      <c r="C10" s="9">
        <f>0.05*B10</f>
        <v>0</v>
      </c>
      <c r="D10" s="13">
        <f>C10*COS(2*PI()*B10/50)</f>
        <v>0</v>
      </c>
      <c r="E10" s="9">
        <f>C10*SIN(2*PI()*B10/50)</f>
        <v>0</v>
      </c>
      <c r="H10" s="1">
        <v>0</v>
      </c>
      <c r="I10" s="9">
        <f>EXP(0.02*H10)</f>
        <v>1</v>
      </c>
      <c r="J10" s="13">
        <f>I10*COS(2*PI()*H10/50)</f>
        <v>1</v>
      </c>
      <c r="K10" s="9">
        <f>I10*SIN(2*PI()*H10/50)</f>
        <v>0</v>
      </c>
    </row>
    <row r="11" spans="2:11" x14ac:dyDescent="0.45">
      <c r="B11" s="1">
        <v>1</v>
      </c>
      <c r="C11" s="9"/>
      <c r="D11" s="13"/>
      <c r="E11" s="9"/>
      <c r="H11" s="1">
        <v>1</v>
      </c>
      <c r="I11" s="9"/>
      <c r="J11" s="13"/>
      <c r="K11" s="9"/>
    </row>
    <row r="12" spans="2:11" x14ac:dyDescent="0.45">
      <c r="B12" s="1">
        <v>2</v>
      </c>
      <c r="C12" s="9"/>
      <c r="D12" s="13"/>
      <c r="E12" s="9"/>
      <c r="H12" s="1">
        <v>2</v>
      </c>
      <c r="I12" s="9"/>
      <c r="J12" s="13"/>
      <c r="K12" s="9"/>
    </row>
    <row r="13" spans="2:11" x14ac:dyDescent="0.45">
      <c r="B13" s="1">
        <v>3</v>
      </c>
      <c r="C13" s="9"/>
      <c r="D13" s="13"/>
      <c r="E13" s="9"/>
      <c r="H13" s="1">
        <v>3</v>
      </c>
      <c r="I13" s="9"/>
      <c r="J13" s="13"/>
      <c r="K13" s="9"/>
    </row>
    <row r="14" spans="2:11" x14ac:dyDescent="0.45">
      <c r="B14" s="1">
        <v>4</v>
      </c>
      <c r="C14" s="9"/>
      <c r="D14" s="13"/>
      <c r="E14" s="9"/>
      <c r="H14" s="1">
        <v>4</v>
      </c>
      <c r="I14" s="9"/>
      <c r="J14" s="13"/>
      <c r="K14" s="9"/>
    </row>
    <row r="15" spans="2:11" x14ac:dyDescent="0.45">
      <c r="B15" s="1">
        <v>5</v>
      </c>
      <c r="C15" s="9"/>
      <c r="D15" s="13"/>
      <c r="E15" s="9"/>
      <c r="H15" s="1">
        <v>5</v>
      </c>
      <c r="I15" s="9"/>
      <c r="J15" s="13"/>
      <c r="K15" s="9"/>
    </row>
    <row r="16" spans="2:11" x14ac:dyDescent="0.45">
      <c r="B16" s="1">
        <v>6</v>
      </c>
      <c r="C16" s="9"/>
      <c r="D16" s="13"/>
      <c r="E16" s="9"/>
      <c r="H16" s="1">
        <v>6</v>
      </c>
      <c r="I16" s="9"/>
      <c r="J16" s="13"/>
      <c r="K16" s="9"/>
    </row>
    <row r="17" spans="2:11" x14ac:dyDescent="0.45">
      <c r="B17" s="1">
        <v>7</v>
      </c>
      <c r="C17" s="9"/>
      <c r="D17" s="13"/>
      <c r="E17" s="9"/>
      <c r="H17" s="1">
        <v>7</v>
      </c>
      <c r="I17" s="9"/>
      <c r="J17" s="13"/>
      <c r="K17" s="9"/>
    </row>
    <row r="18" spans="2:11" x14ac:dyDescent="0.45">
      <c r="B18" s="1">
        <v>8</v>
      </c>
      <c r="C18" s="9"/>
      <c r="D18" s="13"/>
      <c r="E18" s="9"/>
      <c r="H18" s="1">
        <v>8</v>
      </c>
      <c r="I18" s="9"/>
      <c r="J18" s="13"/>
      <c r="K18" s="9"/>
    </row>
    <row r="19" spans="2:11" x14ac:dyDescent="0.45">
      <c r="B19" s="1">
        <v>9</v>
      </c>
      <c r="C19" s="9"/>
      <c r="D19" s="13"/>
      <c r="E19" s="9"/>
      <c r="H19" s="1">
        <v>9</v>
      </c>
      <c r="I19" s="9"/>
      <c r="J19" s="13"/>
      <c r="K19" s="9"/>
    </row>
    <row r="20" spans="2:11" x14ac:dyDescent="0.45">
      <c r="B20" s="1">
        <v>10</v>
      </c>
      <c r="C20" s="9"/>
      <c r="D20" s="13"/>
      <c r="E20" s="9"/>
      <c r="H20" s="1">
        <v>10</v>
      </c>
      <c r="I20" s="9"/>
      <c r="J20" s="13"/>
      <c r="K20" s="9"/>
    </row>
    <row r="21" spans="2:11" x14ac:dyDescent="0.45">
      <c r="B21" s="1">
        <v>11</v>
      </c>
      <c r="C21" s="9"/>
      <c r="D21" s="13"/>
      <c r="E21" s="9"/>
      <c r="H21" s="1">
        <v>11</v>
      </c>
      <c r="I21" s="9"/>
      <c r="J21" s="13"/>
      <c r="K21" s="9"/>
    </row>
    <row r="22" spans="2:11" x14ac:dyDescent="0.45">
      <c r="B22" s="1">
        <v>12</v>
      </c>
      <c r="C22" s="9"/>
      <c r="D22" s="13"/>
      <c r="E22" s="9"/>
      <c r="H22" s="1">
        <v>12</v>
      </c>
      <c r="I22" s="9"/>
      <c r="J22" s="13"/>
      <c r="K22" s="9"/>
    </row>
    <row r="23" spans="2:11" x14ac:dyDescent="0.45">
      <c r="B23" s="1">
        <v>13</v>
      </c>
      <c r="C23" s="9"/>
      <c r="D23" s="13"/>
      <c r="E23" s="9"/>
      <c r="H23" s="1">
        <v>13</v>
      </c>
      <c r="I23" s="9"/>
      <c r="J23" s="13"/>
      <c r="K23" s="9"/>
    </row>
    <row r="24" spans="2:11" x14ac:dyDescent="0.45">
      <c r="B24" s="1">
        <v>14</v>
      </c>
      <c r="C24" s="9"/>
      <c r="D24" s="13"/>
      <c r="E24" s="9"/>
      <c r="H24" s="1">
        <v>14</v>
      </c>
      <c r="I24" s="9"/>
      <c r="J24" s="13"/>
      <c r="K24" s="9"/>
    </row>
    <row r="25" spans="2:11" x14ac:dyDescent="0.45">
      <c r="B25" s="1">
        <v>15</v>
      </c>
      <c r="C25" s="9"/>
      <c r="D25" s="13"/>
      <c r="E25" s="9"/>
      <c r="H25" s="1">
        <v>15</v>
      </c>
      <c r="I25" s="9"/>
      <c r="J25" s="13"/>
      <c r="K25" s="9"/>
    </row>
    <row r="26" spans="2:11" x14ac:dyDescent="0.45">
      <c r="B26" s="1">
        <v>16</v>
      </c>
      <c r="C26" s="9"/>
      <c r="D26" s="13"/>
      <c r="E26" s="9"/>
      <c r="H26" s="1">
        <v>16</v>
      </c>
      <c r="I26" s="9"/>
      <c r="J26" s="13"/>
      <c r="K26" s="9"/>
    </row>
    <row r="27" spans="2:11" x14ac:dyDescent="0.45">
      <c r="B27" s="1">
        <v>17</v>
      </c>
      <c r="C27" s="9"/>
      <c r="D27" s="13"/>
      <c r="E27" s="9"/>
      <c r="H27" s="1">
        <v>17</v>
      </c>
      <c r="I27" s="9"/>
      <c r="J27" s="13"/>
      <c r="K27" s="9"/>
    </row>
    <row r="28" spans="2:11" x14ac:dyDescent="0.45">
      <c r="B28" s="1">
        <v>18</v>
      </c>
      <c r="C28" s="9"/>
      <c r="D28" s="13"/>
      <c r="E28" s="9"/>
      <c r="H28" s="1">
        <v>18</v>
      </c>
      <c r="I28" s="9"/>
      <c r="J28" s="13"/>
      <c r="K28" s="9"/>
    </row>
    <row r="29" spans="2:11" x14ac:dyDescent="0.45">
      <c r="B29" s="1">
        <v>19</v>
      </c>
      <c r="C29" s="9"/>
      <c r="D29" s="13"/>
      <c r="E29" s="9"/>
      <c r="H29" s="1">
        <v>19</v>
      </c>
      <c r="I29" s="9"/>
      <c r="J29" s="13"/>
      <c r="K29" s="9"/>
    </row>
    <row r="30" spans="2:11" x14ac:dyDescent="0.45">
      <c r="B30" s="1">
        <v>20</v>
      </c>
      <c r="C30" s="9"/>
      <c r="D30" s="13"/>
      <c r="E30" s="9"/>
      <c r="H30" s="1">
        <v>20</v>
      </c>
      <c r="I30" s="9"/>
      <c r="J30" s="13"/>
      <c r="K30" s="9"/>
    </row>
    <row r="31" spans="2:11" x14ac:dyDescent="0.45">
      <c r="B31" s="1">
        <v>21</v>
      </c>
      <c r="C31" s="9"/>
      <c r="D31" s="13"/>
      <c r="E31" s="9"/>
      <c r="H31" s="1">
        <v>21</v>
      </c>
      <c r="I31" s="9"/>
      <c r="J31" s="13"/>
      <c r="K31" s="9"/>
    </row>
    <row r="32" spans="2:11" x14ac:dyDescent="0.45">
      <c r="B32" s="1">
        <v>22</v>
      </c>
      <c r="C32" s="9"/>
      <c r="D32" s="13"/>
      <c r="E32" s="9"/>
      <c r="H32" s="1">
        <v>22</v>
      </c>
      <c r="I32" s="9"/>
      <c r="J32" s="13"/>
      <c r="K32" s="9"/>
    </row>
    <row r="33" spans="2:11" x14ac:dyDescent="0.45">
      <c r="B33" s="1">
        <v>23</v>
      </c>
      <c r="C33" s="9"/>
      <c r="D33" s="13"/>
      <c r="E33" s="9"/>
      <c r="H33" s="1">
        <v>23</v>
      </c>
      <c r="I33" s="9"/>
      <c r="J33" s="13"/>
      <c r="K33" s="9"/>
    </row>
    <row r="34" spans="2:11" x14ac:dyDescent="0.45">
      <c r="B34" s="1">
        <v>24</v>
      </c>
      <c r="C34" s="9"/>
      <c r="D34" s="13"/>
      <c r="E34" s="9"/>
      <c r="H34" s="1">
        <v>24</v>
      </c>
      <c r="I34" s="9"/>
      <c r="J34" s="13"/>
      <c r="K34" s="9"/>
    </row>
    <row r="35" spans="2:11" x14ac:dyDescent="0.45">
      <c r="B35" s="1">
        <v>25</v>
      </c>
      <c r="C35" s="9"/>
      <c r="D35" s="13"/>
      <c r="E35" s="9"/>
      <c r="H35" s="1">
        <v>25</v>
      </c>
      <c r="I35" s="9"/>
      <c r="J35" s="13"/>
      <c r="K35" s="9"/>
    </row>
    <row r="36" spans="2:11" x14ac:dyDescent="0.45">
      <c r="B36" s="1">
        <v>26</v>
      </c>
      <c r="C36" s="9"/>
      <c r="D36" s="13"/>
      <c r="E36" s="9"/>
      <c r="H36" s="1">
        <v>26</v>
      </c>
      <c r="I36" s="9"/>
      <c r="J36" s="13"/>
      <c r="K36" s="9"/>
    </row>
    <row r="37" spans="2:11" x14ac:dyDescent="0.45">
      <c r="B37" s="1">
        <v>27</v>
      </c>
      <c r="C37" s="9"/>
      <c r="D37" s="13"/>
      <c r="E37" s="9"/>
      <c r="H37" s="1">
        <v>27</v>
      </c>
      <c r="I37" s="9"/>
      <c r="J37" s="13"/>
      <c r="K37" s="9"/>
    </row>
    <row r="38" spans="2:11" x14ac:dyDescent="0.45">
      <c r="B38" s="1">
        <v>28</v>
      </c>
      <c r="C38" s="9"/>
      <c r="D38" s="13"/>
      <c r="E38" s="9"/>
      <c r="H38" s="1">
        <v>28</v>
      </c>
      <c r="I38" s="9"/>
      <c r="J38" s="13"/>
      <c r="K38" s="9"/>
    </row>
    <row r="39" spans="2:11" x14ac:dyDescent="0.45">
      <c r="B39" s="1">
        <v>29</v>
      </c>
      <c r="C39" s="9"/>
      <c r="D39" s="13"/>
      <c r="E39" s="9"/>
      <c r="H39" s="1">
        <v>29</v>
      </c>
      <c r="I39" s="9"/>
      <c r="J39" s="13"/>
      <c r="K39" s="9"/>
    </row>
    <row r="40" spans="2:11" x14ac:dyDescent="0.45">
      <c r="B40" s="1">
        <v>30</v>
      </c>
      <c r="C40" s="9"/>
      <c r="D40" s="13"/>
      <c r="E40" s="9"/>
      <c r="H40" s="1">
        <v>30</v>
      </c>
      <c r="I40" s="9"/>
      <c r="J40" s="13"/>
      <c r="K40" s="9"/>
    </row>
    <row r="41" spans="2:11" x14ac:dyDescent="0.45">
      <c r="B41" s="1">
        <v>31</v>
      </c>
      <c r="C41" s="9"/>
      <c r="D41" s="13"/>
      <c r="E41" s="9"/>
      <c r="H41" s="1">
        <v>31</v>
      </c>
      <c r="I41" s="9"/>
      <c r="J41" s="13"/>
      <c r="K41" s="9"/>
    </row>
    <row r="42" spans="2:11" x14ac:dyDescent="0.45">
      <c r="B42" s="1">
        <v>32</v>
      </c>
      <c r="C42" s="9"/>
      <c r="D42" s="13"/>
      <c r="E42" s="9"/>
      <c r="H42" s="1">
        <v>32</v>
      </c>
      <c r="I42" s="9"/>
      <c r="J42" s="13"/>
      <c r="K42" s="9"/>
    </row>
    <row r="43" spans="2:11" x14ac:dyDescent="0.45">
      <c r="B43" s="1">
        <v>33</v>
      </c>
      <c r="C43" s="9"/>
      <c r="D43" s="13"/>
      <c r="E43" s="9"/>
      <c r="H43" s="1">
        <v>33</v>
      </c>
      <c r="I43" s="9"/>
      <c r="J43" s="13"/>
      <c r="K43" s="9"/>
    </row>
    <row r="44" spans="2:11" x14ac:dyDescent="0.45">
      <c r="B44" s="1">
        <v>34</v>
      </c>
      <c r="C44" s="9"/>
      <c r="D44" s="13"/>
      <c r="E44" s="9"/>
      <c r="H44" s="1">
        <v>34</v>
      </c>
      <c r="I44" s="9"/>
      <c r="J44" s="13"/>
      <c r="K44" s="9"/>
    </row>
    <row r="45" spans="2:11" x14ac:dyDescent="0.45">
      <c r="B45" s="1">
        <v>35</v>
      </c>
      <c r="C45" s="9"/>
      <c r="D45" s="13"/>
      <c r="E45" s="9"/>
      <c r="H45" s="1">
        <v>35</v>
      </c>
      <c r="I45" s="9"/>
      <c r="J45" s="13"/>
      <c r="K45" s="9"/>
    </row>
    <row r="46" spans="2:11" x14ac:dyDescent="0.45">
      <c r="B46" s="1">
        <v>36</v>
      </c>
      <c r="C46" s="9"/>
      <c r="D46" s="13"/>
      <c r="E46" s="9"/>
      <c r="H46" s="1">
        <v>36</v>
      </c>
      <c r="I46" s="9"/>
      <c r="J46" s="13"/>
      <c r="K46" s="9"/>
    </row>
    <row r="47" spans="2:11" x14ac:dyDescent="0.45">
      <c r="B47" s="1">
        <v>37</v>
      </c>
      <c r="C47" s="9"/>
      <c r="D47" s="13"/>
      <c r="E47" s="9"/>
      <c r="H47" s="1">
        <v>37</v>
      </c>
      <c r="I47" s="9"/>
      <c r="J47" s="13"/>
      <c r="K47" s="9"/>
    </row>
    <row r="48" spans="2:11" x14ac:dyDescent="0.45">
      <c r="B48" s="1">
        <v>38</v>
      </c>
      <c r="C48" s="9"/>
      <c r="D48" s="13"/>
      <c r="E48" s="9"/>
      <c r="H48" s="1">
        <v>38</v>
      </c>
      <c r="I48" s="9"/>
      <c r="J48" s="13"/>
      <c r="K48" s="9"/>
    </row>
    <row r="49" spans="2:11" x14ac:dyDescent="0.45">
      <c r="B49" s="1">
        <v>39</v>
      </c>
      <c r="C49" s="9"/>
      <c r="D49" s="13"/>
      <c r="E49" s="9"/>
      <c r="H49" s="1">
        <v>39</v>
      </c>
      <c r="I49" s="9"/>
      <c r="J49" s="13"/>
      <c r="K49" s="9"/>
    </row>
    <row r="50" spans="2:11" x14ac:dyDescent="0.45">
      <c r="B50" s="1">
        <v>40</v>
      </c>
      <c r="C50" s="9"/>
      <c r="D50" s="13"/>
      <c r="E50" s="9"/>
      <c r="H50" s="1">
        <v>40</v>
      </c>
      <c r="I50" s="9"/>
      <c r="J50" s="13"/>
      <c r="K50" s="9"/>
    </row>
    <row r="51" spans="2:11" x14ac:dyDescent="0.45">
      <c r="B51" s="1">
        <v>41</v>
      </c>
      <c r="C51" s="9"/>
      <c r="D51" s="13"/>
      <c r="E51" s="9"/>
      <c r="H51" s="1">
        <v>41</v>
      </c>
      <c r="I51" s="9"/>
      <c r="J51" s="13"/>
      <c r="K51" s="9"/>
    </row>
    <row r="52" spans="2:11" x14ac:dyDescent="0.45">
      <c r="B52" s="1">
        <v>42</v>
      </c>
      <c r="C52" s="9"/>
      <c r="D52" s="13"/>
      <c r="E52" s="9"/>
      <c r="H52" s="1">
        <v>42</v>
      </c>
      <c r="I52" s="9"/>
      <c r="J52" s="13"/>
      <c r="K52" s="9"/>
    </row>
    <row r="53" spans="2:11" x14ac:dyDescent="0.45">
      <c r="B53" s="1">
        <v>43</v>
      </c>
      <c r="C53" s="9"/>
      <c r="D53" s="13"/>
      <c r="E53" s="9"/>
      <c r="H53" s="1">
        <v>43</v>
      </c>
      <c r="I53" s="9"/>
      <c r="J53" s="13"/>
      <c r="K53" s="9"/>
    </row>
    <row r="54" spans="2:11" x14ac:dyDescent="0.45">
      <c r="B54" s="1">
        <v>44</v>
      </c>
      <c r="C54" s="9"/>
      <c r="D54" s="13"/>
      <c r="E54" s="9"/>
      <c r="H54" s="1">
        <v>44</v>
      </c>
      <c r="I54" s="9"/>
      <c r="J54" s="13"/>
      <c r="K54" s="9"/>
    </row>
    <row r="55" spans="2:11" x14ac:dyDescent="0.45">
      <c r="B55" s="1">
        <v>45</v>
      </c>
      <c r="C55" s="9"/>
      <c r="D55" s="13"/>
      <c r="E55" s="9"/>
      <c r="H55" s="1">
        <v>45</v>
      </c>
      <c r="I55" s="9"/>
      <c r="J55" s="13"/>
      <c r="K55" s="9"/>
    </row>
    <row r="56" spans="2:11" x14ac:dyDescent="0.45">
      <c r="B56" s="1">
        <v>46</v>
      </c>
      <c r="C56" s="9"/>
      <c r="D56" s="13"/>
      <c r="E56" s="9"/>
      <c r="H56" s="1">
        <v>46</v>
      </c>
      <c r="I56" s="9"/>
      <c r="J56" s="13"/>
      <c r="K56" s="9"/>
    </row>
    <row r="57" spans="2:11" x14ac:dyDescent="0.45">
      <c r="B57" s="1">
        <v>47</v>
      </c>
      <c r="C57" s="9"/>
      <c r="D57" s="13"/>
      <c r="E57" s="9"/>
      <c r="H57" s="1">
        <v>47</v>
      </c>
      <c r="I57" s="9"/>
      <c r="J57" s="13"/>
      <c r="K57" s="9"/>
    </row>
    <row r="58" spans="2:11" x14ac:dyDescent="0.45">
      <c r="B58" s="1">
        <v>48</v>
      </c>
      <c r="C58" s="9"/>
      <c r="D58" s="13"/>
      <c r="E58" s="9"/>
      <c r="H58" s="1">
        <v>48</v>
      </c>
      <c r="I58" s="9"/>
      <c r="J58" s="13"/>
      <c r="K58" s="9"/>
    </row>
    <row r="59" spans="2:11" x14ac:dyDescent="0.45">
      <c r="B59" s="1">
        <v>49</v>
      </c>
      <c r="C59" s="9"/>
      <c r="D59" s="13"/>
      <c r="E59" s="9"/>
      <c r="H59" s="1">
        <v>49</v>
      </c>
      <c r="I59" s="9"/>
      <c r="J59" s="13"/>
      <c r="K59" s="9"/>
    </row>
    <row r="60" spans="2:11" x14ac:dyDescent="0.45">
      <c r="B60" s="1">
        <v>50</v>
      </c>
      <c r="C60" s="9"/>
      <c r="D60" s="13"/>
      <c r="E60" s="9"/>
      <c r="H60" s="1">
        <v>50</v>
      </c>
      <c r="I60" s="9"/>
      <c r="J60" s="13"/>
      <c r="K60" s="9"/>
    </row>
    <row r="61" spans="2:11" x14ac:dyDescent="0.45">
      <c r="B61" s="1">
        <v>51</v>
      </c>
      <c r="C61" s="9"/>
      <c r="D61" s="13"/>
      <c r="E61" s="9"/>
      <c r="H61" s="1">
        <v>51</v>
      </c>
      <c r="I61" s="9"/>
      <c r="J61" s="13"/>
      <c r="K61" s="9"/>
    </row>
    <row r="62" spans="2:11" x14ac:dyDescent="0.45">
      <c r="B62" s="1">
        <v>52</v>
      </c>
      <c r="C62" s="9"/>
      <c r="D62" s="13"/>
      <c r="E62" s="9"/>
      <c r="H62" s="1">
        <v>52</v>
      </c>
      <c r="I62" s="9"/>
      <c r="J62" s="13"/>
      <c r="K62" s="9"/>
    </row>
    <row r="63" spans="2:11" x14ac:dyDescent="0.45">
      <c r="B63" s="1">
        <v>53</v>
      </c>
      <c r="C63" s="9"/>
      <c r="D63" s="13"/>
      <c r="E63" s="9"/>
      <c r="H63" s="1">
        <v>53</v>
      </c>
      <c r="I63" s="9"/>
      <c r="J63" s="13"/>
      <c r="K63" s="9"/>
    </row>
    <row r="64" spans="2:11" x14ac:dyDescent="0.45">
      <c r="B64" s="1">
        <v>54</v>
      </c>
      <c r="C64" s="9"/>
      <c r="D64" s="13"/>
      <c r="E64" s="9"/>
      <c r="H64" s="1">
        <v>54</v>
      </c>
      <c r="I64" s="9"/>
      <c r="J64" s="13"/>
      <c r="K64" s="9"/>
    </row>
    <row r="65" spans="2:11" x14ac:dyDescent="0.45">
      <c r="B65" s="1">
        <v>55</v>
      </c>
      <c r="C65" s="9"/>
      <c r="D65" s="13"/>
      <c r="E65" s="9"/>
      <c r="H65" s="1">
        <v>55</v>
      </c>
      <c r="I65" s="9"/>
      <c r="J65" s="13"/>
      <c r="K65" s="9"/>
    </row>
    <row r="66" spans="2:11" x14ac:dyDescent="0.45">
      <c r="B66" s="1">
        <v>56</v>
      </c>
      <c r="C66" s="9"/>
      <c r="D66" s="13"/>
      <c r="E66" s="9"/>
      <c r="H66" s="1">
        <v>56</v>
      </c>
      <c r="I66" s="9"/>
      <c r="J66" s="13"/>
      <c r="K66" s="9"/>
    </row>
    <row r="67" spans="2:11" x14ac:dyDescent="0.45">
      <c r="B67" s="1">
        <v>57</v>
      </c>
      <c r="C67" s="9"/>
      <c r="D67" s="13"/>
      <c r="E67" s="9"/>
      <c r="H67" s="1">
        <v>57</v>
      </c>
      <c r="I67" s="9"/>
      <c r="J67" s="13"/>
      <c r="K67" s="9"/>
    </row>
    <row r="68" spans="2:11" x14ac:dyDescent="0.45">
      <c r="B68" s="1">
        <v>58</v>
      </c>
      <c r="C68" s="9"/>
      <c r="D68" s="13"/>
      <c r="E68" s="9"/>
      <c r="H68" s="1">
        <v>58</v>
      </c>
      <c r="I68" s="9"/>
      <c r="J68" s="13"/>
      <c r="K68" s="9"/>
    </row>
    <row r="69" spans="2:11" x14ac:dyDescent="0.45">
      <c r="B69" s="1">
        <v>59</v>
      </c>
      <c r="C69" s="9"/>
      <c r="D69" s="13"/>
      <c r="E69" s="9"/>
      <c r="H69" s="1">
        <v>59</v>
      </c>
      <c r="I69" s="9"/>
      <c r="J69" s="13"/>
      <c r="K69" s="9"/>
    </row>
    <row r="70" spans="2:11" x14ac:dyDescent="0.45">
      <c r="B70" s="1">
        <v>60</v>
      </c>
      <c r="C70" s="9"/>
      <c r="D70" s="13"/>
      <c r="E70" s="9"/>
      <c r="H70" s="1">
        <v>60</v>
      </c>
      <c r="I70" s="9"/>
      <c r="J70" s="13"/>
      <c r="K70" s="9"/>
    </row>
    <row r="71" spans="2:11" x14ac:dyDescent="0.45">
      <c r="B71" s="1">
        <v>61</v>
      </c>
      <c r="C71" s="9"/>
      <c r="D71" s="13"/>
      <c r="E71" s="9"/>
      <c r="H71" s="1">
        <v>61</v>
      </c>
      <c r="I71" s="9"/>
      <c r="J71" s="13"/>
      <c r="K71" s="9"/>
    </row>
    <row r="72" spans="2:11" x14ac:dyDescent="0.45">
      <c r="B72" s="1">
        <v>62</v>
      </c>
      <c r="C72" s="9"/>
      <c r="D72" s="13"/>
      <c r="E72" s="9"/>
      <c r="H72" s="1">
        <v>62</v>
      </c>
      <c r="I72" s="9"/>
      <c r="J72" s="13"/>
      <c r="K72" s="9"/>
    </row>
    <row r="73" spans="2:11" x14ac:dyDescent="0.45">
      <c r="B73" s="1">
        <v>63</v>
      </c>
      <c r="C73" s="9"/>
      <c r="D73" s="13"/>
      <c r="E73" s="9"/>
      <c r="H73" s="1">
        <v>63</v>
      </c>
      <c r="I73" s="9"/>
      <c r="J73" s="13"/>
      <c r="K73" s="9"/>
    </row>
    <row r="74" spans="2:11" x14ac:dyDescent="0.45">
      <c r="B74" s="1">
        <v>64</v>
      </c>
      <c r="C74" s="9"/>
      <c r="D74" s="13"/>
      <c r="E74" s="9"/>
      <c r="H74" s="1">
        <v>64</v>
      </c>
      <c r="I74" s="9"/>
      <c r="J74" s="13"/>
      <c r="K74" s="9"/>
    </row>
    <row r="75" spans="2:11" x14ac:dyDescent="0.45">
      <c r="B75" s="1">
        <v>65</v>
      </c>
      <c r="C75" s="9"/>
      <c r="D75" s="13"/>
      <c r="E75" s="9"/>
      <c r="H75" s="1">
        <v>65</v>
      </c>
      <c r="I75" s="9"/>
      <c r="J75" s="13"/>
      <c r="K75" s="9"/>
    </row>
    <row r="76" spans="2:11" x14ac:dyDescent="0.45">
      <c r="B76" s="1">
        <v>66</v>
      </c>
      <c r="C76" s="9"/>
      <c r="D76" s="13"/>
      <c r="E76" s="9"/>
      <c r="H76" s="1">
        <v>66</v>
      </c>
      <c r="I76" s="9"/>
      <c r="J76" s="13"/>
      <c r="K76" s="9"/>
    </row>
    <row r="77" spans="2:11" x14ac:dyDescent="0.45">
      <c r="B77" s="1">
        <v>67</v>
      </c>
      <c r="C77" s="9"/>
      <c r="D77" s="13"/>
      <c r="E77" s="9"/>
      <c r="H77" s="1">
        <v>67</v>
      </c>
      <c r="I77" s="9"/>
      <c r="J77" s="13"/>
      <c r="K77" s="9"/>
    </row>
    <row r="78" spans="2:11" x14ac:dyDescent="0.45">
      <c r="B78" s="1">
        <v>68</v>
      </c>
      <c r="C78" s="9"/>
      <c r="D78" s="13"/>
      <c r="E78" s="9"/>
      <c r="H78" s="1">
        <v>68</v>
      </c>
      <c r="I78" s="9"/>
      <c r="J78" s="13"/>
      <c r="K78" s="9"/>
    </row>
    <row r="79" spans="2:11" x14ac:dyDescent="0.45">
      <c r="B79" s="1">
        <v>69</v>
      </c>
      <c r="C79" s="9"/>
      <c r="D79" s="13"/>
      <c r="E79" s="9"/>
      <c r="H79" s="1">
        <v>69</v>
      </c>
      <c r="I79" s="9"/>
      <c r="J79" s="13"/>
      <c r="K79" s="9"/>
    </row>
    <row r="80" spans="2:11" x14ac:dyDescent="0.45">
      <c r="B80" s="1">
        <v>70</v>
      </c>
      <c r="C80" s="9"/>
      <c r="D80" s="13"/>
      <c r="E80" s="9"/>
      <c r="H80" s="1">
        <v>70</v>
      </c>
      <c r="I80" s="9"/>
      <c r="J80" s="13"/>
      <c r="K80" s="9"/>
    </row>
    <row r="81" spans="2:11" x14ac:dyDescent="0.45">
      <c r="B81" s="1">
        <v>71</v>
      </c>
      <c r="C81" s="9"/>
      <c r="D81" s="13"/>
      <c r="E81" s="9"/>
      <c r="H81" s="1">
        <v>71</v>
      </c>
      <c r="I81" s="9"/>
      <c r="J81" s="13"/>
      <c r="K81" s="9"/>
    </row>
    <row r="82" spans="2:11" x14ac:dyDescent="0.45">
      <c r="B82" s="1">
        <v>72</v>
      </c>
      <c r="C82" s="9"/>
      <c r="D82" s="13"/>
      <c r="E82" s="9"/>
      <c r="H82" s="1">
        <v>72</v>
      </c>
      <c r="I82" s="9"/>
      <c r="J82" s="13"/>
      <c r="K82" s="9"/>
    </row>
    <row r="83" spans="2:11" x14ac:dyDescent="0.45">
      <c r="B83" s="1">
        <v>73</v>
      </c>
      <c r="C83" s="9"/>
      <c r="D83" s="13"/>
      <c r="E83" s="9"/>
      <c r="H83" s="1">
        <v>73</v>
      </c>
      <c r="I83" s="9"/>
      <c r="J83" s="13"/>
      <c r="K83" s="9"/>
    </row>
    <row r="84" spans="2:11" x14ac:dyDescent="0.45">
      <c r="B84" s="1">
        <v>74</v>
      </c>
      <c r="C84" s="9"/>
      <c r="D84" s="13"/>
      <c r="E84" s="9"/>
      <c r="H84" s="1">
        <v>74</v>
      </c>
      <c r="I84" s="9"/>
      <c r="J84" s="13"/>
      <c r="K84" s="9"/>
    </row>
    <row r="85" spans="2:11" x14ac:dyDescent="0.45">
      <c r="B85" s="1">
        <v>75</v>
      </c>
      <c r="C85" s="9"/>
      <c r="D85" s="13"/>
      <c r="E85" s="9"/>
      <c r="H85" s="1">
        <v>75</v>
      </c>
      <c r="I85" s="9"/>
      <c r="J85" s="13"/>
      <c r="K85" s="9"/>
    </row>
    <row r="86" spans="2:11" x14ac:dyDescent="0.45">
      <c r="B86" s="1">
        <v>76</v>
      </c>
      <c r="C86" s="9"/>
      <c r="D86" s="13"/>
      <c r="E86" s="9"/>
      <c r="H86" s="1">
        <v>76</v>
      </c>
      <c r="I86" s="9"/>
      <c r="J86" s="13"/>
      <c r="K86" s="9"/>
    </row>
    <row r="87" spans="2:11" x14ac:dyDescent="0.45">
      <c r="B87" s="1">
        <v>77</v>
      </c>
      <c r="C87" s="9"/>
      <c r="D87" s="13"/>
      <c r="E87" s="9"/>
      <c r="H87" s="1">
        <v>77</v>
      </c>
      <c r="I87" s="9"/>
      <c r="J87" s="13"/>
      <c r="K87" s="9"/>
    </row>
    <row r="88" spans="2:11" x14ac:dyDescent="0.45">
      <c r="B88" s="1">
        <v>78</v>
      </c>
      <c r="C88" s="9"/>
      <c r="D88" s="13"/>
      <c r="E88" s="9"/>
      <c r="H88" s="1">
        <v>78</v>
      </c>
      <c r="I88" s="9"/>
      <c r="J88" s="13"/>
      <c r="K88" s="9"/>
    </row>
    <row r="89" spans="2:11" x14ac:dyDescent="0.45">
      <c r="B89" s="1">
        <v>79</v>
      </c>
      <c r="C89" s="9"/>
      <c r="D89" s="13"/>
      <c r="E89" s="9"/>
      <c r="H89" s="1">
        <v>79</v>
      </c>
      <c r="I89" s="9"/>
      <c r="J89" s="13"/>
      <c r="K89" s="9"/>
    </row>
    <row r="90" spans="2:11" x14ac:dyDescent="0.45">
      <c r="B90" s="1">
        <v>80</v>
      </c>
      <c r="C90" s="9"/>
      <c r="D90" s="13"/>
      <c r="E90" s="9"/>
      <c r="H90" s="1">
        <v>80</v>
      </c>
      <c r="I90" s="9"/>
      <c r="J90" s="13"/>
      <c r="K90" s="9"/>
    </row>
    <row r="91" spans="2:11" x14ac:dyDescent="0.45">
      <c r="B91" s="1">
        <v>81</v>
      </c>
      <c r="C91" s="9"/>
      <c r="D91" s="13"/>
      <c r="E91" s="9"/>
      <c r="H91" s="1">
        <v>81</v>
      </c>
      <c r="I91" s="9"/>
      <c r="J91" s="13"/>
      <c r="K91" s="9"/>
    </row>
    <row r="92" spans="2:11" x14ac:dyDescent="0.45">
      <c r="B92" s="1">
        <v>82</v>
      </c>
      <c r="C92" s="9"/>
      <c r="D92" s="13"/>
      <c r="E92" s="9"/>
      <c r="H92" s="1">
        <v>82</v>
      </c>
      <c r="I92" s="9"/>
      <c r="J92" s="13"/>
      <c r="K92" s="9"/>
    </row>
    <row r="93" spans="2:11" x14ac:dyDescent="0.45">
      <c r="B93" s="1">
        <v>83</v>
      </c>
      <c r="C93" s="9"/>
      <c r="D93" s="13"/>
      <c r="E93" s="9"/>
      <c r="H93" s="1">
        <v>83</v>
      </c>
      <c r="I93" s="9"/>
      <c r="J93" s="13"/>
      <c r="K93" s="9"/>
    </row>
    <row r="94" spans="2:11" x14ac:dyDescent="0.45">
      <c r="B94" s="1">
        <v>84</v>
      </c>
      <c r="C94" s="9"/>
      <c r="D94" s="13"/>
      <c r="E94" s="9"/>
      <c r="H94" s="1">
        <v>84</v>
      </c>
      <c r="I94" s="9"/>
      <c r="J94" s="13"/>
      <c r="K94" s="9"/>
    </row>
    <row r="95" spans="2:11" x14ac:dyDescent="0.45">
      <c r="B95" s="1">
        <v>85</v>
      </c>
      <c r="C95" s="9"/>
      <c r="D95" s="13"/>
      <c r="E95" s="9"/>
      <c r="H95" s="1">
        <v>85</v>
      </c>
      <c r="I95" s="9"/>
      <c r="J95" s="13"/>
      <c r="K95" s="9"/>
    </row>
    <row r="96" spans="2:11" x14ac:dyDescent="0.45">
      <c r="B96" s="1">
        <v>86</v>
      </c>
      <c r="C96" s="9"/>
      <c r="D96" s="13"/>
      <c r="E96" s="9"/>
      <c r="H96" s="1">
        <v>86</v>
      </c>
      <c r="I96" s="9"/>
      <c r="J96" s="13"/>
      <c r="K96" s="9"/>
    </row>
    <row r="97" spans="2:11" x14ac:dyDescent="0.45">
      <c r="B97" s="1">
        <v>87</v>
      </c>
      <c r="C97" s="9"/>
      <c r="D97" s="13"/>
      <c r="E97" s="9"/>
      <c r="H97" s="1">
        <v>87</v>
      </c>
      <c r="I97" s="9"/>
      <c r="J97" s="13"/>
      <c r="K97" s="9"/>
    </row>
    <row r="98" spans="2:11" x14ac:dyDescent="0.45">
      <c r="B98" s="1">
        <v>88</v>
      </c>
      <c r="C98" s="9"/>
      <c r="D98" s="13"/>
      <c r="E98" s="9"/>
      <c r="H98" s="1">
        <v>88</v>
      </c>
      <c r="I98" s="9"/>
      <c r="J98" s="13"/>
      <c r="K98" s="9"/>
    </row>
    <row r="99" spans="2:11" x14ac:dyDescent="0.45">
      <c r="B99" s="1">
        <v>89</v>
      </c>
      <c r="C99" s="9"/>
      <c r="D99" s="13"/>
      <c r="E99" s="9"/>
      <c r="H99" s="1">
        <v>89</v>
      </c>
      <c r="I99" s="9"/>
      <c r="J99" s="13"/>
      <c r="K99" s="9"/>
    </row>
    <row r="100" spans="2:11" x14ac:dyDescent="0.45">
      <c r="B100" s="1">
        <v>90</v>
      </c>
      <c r="C100" s="9"/>
      <c r="D100" s="13"/>
      <c r="E100" s="9"/>
      <c r="H100" s="1">
        <v>90</v>
      </c>
      <c r="I100" s="9"/>
      <c r="J100" s="13"/>
      <c r="K100" s="9"/>
    </row>
    <row r="101" spans="2:11" x14ac:dyDescent="0.45">
      <c r="B101" s="1">
        <v>91</v>
      </c>
      <c r="C101" s="9"/>
      <c r="D101" s="13"/>
      <c r="E101" s="9"/>
      <c r="H101" s="1">
        <v>91</v>
      </c>
      <c r="I101" s="9"/>
      <c r="J101" s="13"/>
      <c r="K101" s="9"/>
    </row>
    <row r="102" spans="2:11" x14ac:dyDescent="0.45">
      <c r="B102" s="1">
        <v>92</v>
      </c>
      <c r="C102" s="9"/>
      <c r="D102" s="13"/>
      <c r="E102" s="9"/>
      <c r="H102" s="1">
        <v>92</v>
      </c>
      <c r="I102" s="9"/>
      <c r="J102" s="13"/>
      <c r="K102" s="9"/>
    </row>
    <row r="103" spans="2:11" x14ac:dyDescent="0.45">
      <c r="B103" s="1">
        <v>93</v>
      </c>
      <c r="C103" s="9"/>
      <c r="D103" s="13"/>
      <c r="E103" s="9"/>
      <c r="H103" s="1">
        <v>93</v>
      </c>
      <c r="I103" s="9"/>
      <c r="J103" s="13"/>
      <c r="K103" s="9"/>
    </row>
    <row r="104" spans="2:11" x14ac:dyDescent="0.45">
      <c r="B104" s="1">
        <v>94</v>
      </c>
      <c r="C104" s="9"/>
      <c r="D104" s="13"/>
      <c r="E104" s="9"/>
      <c r="H104" s="1">
        <v>94</v>
      </c>
      <c r="I104" s="9"/>
      <c r="J104" s="13"/>
      <c r="K104" s="9"/>
    </row>
    <row r="105" spans="2:11" x14ac:dyDescent="0.45">
      <c r="B105" s="1">
        <v>95</v>
      </c>
      <c r="C105" s="9"/>
      <c r="D105" s="13"/>
      <c r="E105" s="9"/>
      <c r="H105" s="1">
        <v>95</v>
      </c>
      <c r="I105" s="9"/>
      <c r="J105" s="13"/>
      <c r="K105" s="9"/>
    </row>
    <row r="106" spans="2:11" x14ac:dyDescent="0.45">
      <c r="B106" s="1">
        <v>96</v>
      </c>
      <c r="C106" s="9"/>
      <c r="D106" s="13"/>
      <c r="E106" s="9"/>
      <c r="H106" s="1">
        <v>96</v>
      </c>
      <c r="I106" s="9"/>
      <c r="J106" s="13"/>
      <c r="K106" s="9"/>
    </row>
    <row r="107" spans="2:11" x14ac:dyDescent="0.45">
      <c r="B107" s="1">
        <v>97</v>
      </c>
      <c r="C107" s="9"/>
      <c r="D107" s="13"/>
      <c r="E107" s="9"/>
      <c r="H107" s="1">
        <v>97</v>
      </c>
      <c r="I107" s="9"/>
      <c r="J107" s="13"/>
      <c r="K107" s="9"/>
    </row>
    <row r="108" spans="2:11" x14ac:dyDescent="0.45">
      <c r="B108" s="1">
        <v>98</v>
      </c>
      <c r="C108" s="9"/>
      <c r="D108" s="13"/>
      <c r="E108" s="9"/>
      <c r="H108" s="1">
        <v>98</v>
      </c>
      <c r="I108" s="9"/>
      <c r="J108" s="13"/>
      <c r="K108" s="9"/>
    </row>
    <row r="109" spans="2:11" x14ac:dyDescent="0.45">
      <c r="B109" s="1">
        <v>99</v>
      </c>
      <c r="C109" s="9"/>
      <c r="D109" s="13"/>
      <c r="E109" s="9"/>
      <c r="H109" s="1">
        <v>99</v>
      </c>
      <c r="I109" s="9"/>
      <c r="J109" s="13"/>
      <c r="K109" s="9"/>
    </row>
    <row r="110" spans="2:11" x14ac:dyDescent="0.45">
      <c r="B110" s="1">
        <v>100</v>
      </c>
      <c r="C110" s="9"/>
      <c r="D110" s="13"/>
      <c r="E110" s="9"/>
      <c r="H110" s="1">
        <v>100</v>
      </c>
      <c r="I110" s="9"/>
      <c r="J110" s="13"/>
      <c r="K110" s="9"/>
    </row>
    <row r="111" spans="2:11" x14ac:dyDescent="0.45">
      <c r="B111" s="1">
        <v>101</v>
      </c>
      <c r="C111" s="9"/>
      <c r="D111" s="13"/>
      <c r="E111" s="9"/>
      <c r="H111" s="1">
        <v>101</v>
      </c>
      <c r="I111" s="9"/>
      <c r="J111" s="13"/>
      <c r="K111" s="9"/>
    </row>
    <row r="112" spans="2:11" x14ac:dyDescent="0.45">
      <c r="B112" s="1">
        <v>102</v>
      </c>
      <c r="C112" s="9"/>
      <c r="D112" s="13"/>
      <c r="E112" s="9"/>
      <c r="H112" s="1">
        <v>102</v>
      </c>
      <c r="I112" s="9"/>
      <c r="J112" s="13"/>
      <c r="K112" s="9"/>
    </row>
    <row r="113" spans="2:11" x14ac:dyDescent="0.45">
      <c r="B113" s="1">
        <v>103</v>
      </c>
      <c r="C113" s="9"/>
      <c r="D113" s="13"/>
      <c r="E113" s="9"/>
      <c r="H113" s="1">
        <v>103</v>
      </c>
      <c r="I113" s="9"/>
      <c r="J113" s="13"/>
      <c r="K113" s="9"/>
    </row>
    <row r="114" spans="2:11" x14ac:dyDescent="0.45">
      <c r="B114" s="1">
        <v>104</v>
      </c>
      <c r="C114" s="9"/>
      <c r="D114" s="13"/>
      <c r="E114" s="9"/>
      <c r="H114" s="1">
        <v>104</v>
      </c>
      <c r="I114" s="9"/>
      <c r="J114" s="13"/>
      <c r="K114" s="9"/>
    </row>
    <row r="115" spans="2:11" x14ac:dyDescent="0.45">
      <c r="B115" s="1">
        <v>105</v>
      </c>
      <c r="C115" s="9"/>
      <c r="D115" s="13"/>
      <c r="E115" s="9"/>
      <c r="H115" s="1">
        <v>105</v>
      </c>
      <c r="I115" s="9"/>
      <c r="J115" s="13"/>
      <c r="K115" s="9"/>
    </row>
    <row r="116" spans="2:11" x14ac:dyDescent="0.45">
      <c r="B116" s="1">
        <v>106</v>
      </c>
      <c r="C116" s="9"/>
      <c r="D116" s="13"/>
      <c r="E116" s="9"/>
      <c r="H116" s="1">
        <v>106</v>
      </c>
      <c r="I116" s="9"/>
      <c r="J116" s="13"/>
      <c r="K116" s="9"/>
    </row>
    <row r="117" spans="2:11" x14ac:dyDescent="0.45">
      <c r="B117" s="1">
        <v>107</v>
      </c>
      <c r="C117" s="9"/>
      <c r="D117" s="13"/>
      <c r="E117" s="9"/>
      <c r="H117" s="1">
        <v>107</v>
      </c>
      <c r="I117" s="9"/>
      <c r="J117" s="13"/>
      <c r="K117" s="9"/>
    </row>
    <row r="118" spans="2:11" x14ac:dyDescent="0.45">
      <c r="B118" s="1">
        <v>108</v>
      </c>
      <c r="C118" s="9"/>
      <c r="D118" s="13"/>
      <c r="E118" s="9"/>
      <c r="H118" s="1">
        <v>108</v>
      </c>
      <c r="I118" s="9"/>
      <c r="J118" s="13"/>
      <c r="K118" s="9"/>
    </row>
    <row r="119" spans="2:11" x14ac:dyDescent="0.45">
      <c r="B119" s="1">
        <v>109</v>
      </c>
      <c r="C119" s="9"/>
      <c r="D119" s="13"/>
      <c r="E119" s="9"/>
      <c r="H119" s="1">
        <v>109</v>
      </c>
      <c r="I119" s="9"/>
      <c r="J119" s="13"/>
      <c r="K119" s="9"/>
    </row>
    <row r="120" spans="2:11" x14ac:dyDescent="0.45">
      <c r="B120" s="1">
        <v>110</v>
      </c>
      <c r="C120" s="9"/>
      <c r="D120" s="13"/>
      <c r="E120" s="9"/>
      <c r="H120" s="1">
        <v>110</v>
      </c>
      <c r="I120" s="9"/>
      <c r="J120" s="13"/>
      <c r="K120" s="9"/>
    </row>
    <row r="121" spans="2:11" x14ac:dyDescent="0.45">
      <c r="B121" s="1">
        <v>111</v>
      </c>
      <c r="C121" s="9"/>
      <c r="D121" s="13"/>
      <c r="E121" s="9"/>
      <c r="H121" s="1">
        <v>111</v>
      </c>
      <c r="I121" s="9"/>
      <c r="J121" s="13"/>
      <c r="K121" s="9"/>
    </row>
    <row r="122" spans="2:11" x14ac:dyDescent="0.45">
      <c r="B122" s="1">
        <v>112</v>
      </c>
      <c r="C122" s="9"/>
      <c r="D122" s="13"/>
      <c r="E122" s="9"/>
      <c r="H122" s="1">
        <v>112</v>
      </c>
      <c r="I122" s="9"/>
      <c r="J122" s="13"/>
      <c r="K122" s="9"/>
    </row>
    <row r="123" spans="2:11" x14ac:dyDescent="0.45">
      <c r="B123" s="1">
        <v>113</v>
      </c>
      <c r="C123" s="9"/>
      <c r="D123" s="13"/>
      <c r="E123" s="9"/>
      <c r="H123" s="1">
        <v>113</v>
      </c>
      <c r="I123" s="9"/>
      <c r="J123" s="13"/>
      <c r="K123" s="9"/>
    </row>
    <row r="124" spans="2:11" x14ac:dyDescent="0.45">
      <c r="B124" s="1">
        <v>114</v>
      </c>
      <c r="C124" s="9"/>
      <c r="D124" s="13"/>
      <c r="E124" s="9"/>
      <c r="H124" s="1">
        <v>114</v>
      </c>
      <c r="I124" s="9"/>
      <c r="J124" s="13"/>
      <c r="K124" s="9"/>
    </row>
    <row r="125" spans="2:11" x14ac:dyDescent="0.45">
      <c r="B125" s="1">
        <v>115</v>
      </c>
      <c r="C125" s="9"/>
      <c r="D125" s="13"/>
      <c r="E125" s="9"/>
      <c r="H125" s="1">
        <v>115</v>
      </c>
      <c r="I125" s="9"/>
      <c r="J125" s="13"/>
      <c r="K125" s="9"/>
    </row>
    <row r="126" spans="2:11" x14ac:dyDescent="0.45">
      <c r="B126" s="1">
        <v>116</v>
      </c>
      <c r="C126" s="9"/>
      <c r="D126" s="13"/>
      <c r="E126" s="9"/>
      <c r="H126" s="1">
        <v>116</v>
      </c>
      <c r="I126" s="9"/>
      <c r="J126" s="13"/>
      <c r="K126" s="9"/>
    </row>
    <row r="127" spans="2:11" x14ac:dyDescent="0.45">
      <c r="B127" s="1">
        <v>117</v>
      </c>
      <c r="C127" s="9"/>
      <c r="D127" s="13"/>
      <c r="E127" s="9"/>
      <c r="H127" s="1">
        <v>117</v>
      </c>
      <c r="I127" s="9"/>
      <c r="J127" s="13"/>
      <c r="K127" s="9"/>
    </row>
    <row r="128" spans="2:11" x14ac:dyDescent="0.45">
      <c r="B128" s="1">
        <v>118</v>
      </c>
      <c r="C128" s="9"/>
      <c r="D128" s="13"/>
      <c r="E128" s="9"/>
      <c r="H128" s="1">
        <v>118</v>
      </c>
      <c r="I128" s="9"/>
      <c r="J128" s="13"/>
      <c r="K128" s="9"/>
    </row>
    <row r="129" spans="2:11" x14ac:dyDescent="0.45">
      <c r="B129" s="1">
        <v>119</v>
      </c>
      <c r="C129" s="9"/>
      <c r="D129" s="13"/>
      <c r="E129" s="9"/>
      <c r="H129" s="1">
        <v>119</v>
      </c>
      <c r="I129" s="9"/>
      <c r="J129" s="13"/>
      <c r="K129" s="9"/>
    </row>
    <row r="130" spans="2:11" x14ac:dyDescent="0.45">
      <c r="B130" s="1">
        <v>120</v>
      </c>
      <c r="C130" s="9"/>
      <c r="D130" s="13"/>
      <c r="E130" s="9"/>
      <c r="H130" s="1">
        <v>120</v>
      </c>
      <c r="I130" s="9"/>
      <c r="J130" s="13"/>
      <c r="K130" s="9"/>
    </row>
    <row r="131" spans="2:11" x14ac:dyDescent="0.45">
      <c r="B131" s="1">
        <v>121</v>
      </c>
      <c r="C131" s="9"/>
      <c r="D131" s="13"/>
      <c r="E131" s="9"/>
      <c r="H131" s="1">
        <v>121</v>
      </c>
      <c r="I131" s="9"/>
      <c r="J131" s="13"/>
      <c r="K131" s="9"/>
    </row>
    <row r="132" spans="2:11" x14ac:dyDescent="0.45">
      <c r="B132" s="1">
        <v>122</v>
      </c>
      <c r="C132" s="9"/>
      <c r="D132" s="13"/>
      <c r="E132" s="9"/>
      <c r="H132" s="1">
        <v>122</v>
      </c>
      <c r="I132" s="9"/>
      <c r="J132" s="13"/>
      <c r="K132" s="9"/>
    </row>
    <row r="133" spans="2:11" x14ac:dyDescent="0.45">
      <c r="B133" s="1">
        <v>123</v>
      </c>
      <c r="C133" s="9"/>
      <c r="D133" s="13"/>
      <c r="E133" s="9"/>
      <c r="H133" s="1">
        <v>123</v>
      </c>
      <c r="I133" s="9"/>
      <c r="J133" s="13"/>
      <c r="K133" s="9"/>
    </row>
    <row r="134" spans="2:11" x14ac:dyDescent="0.45">
      <c r="B134" s="1">
        <v>124</v>
      </c>
      <c r="C134" s="9"/>
      <c r="D134" s="13"/>
      <c r="E134" s="9"/>
      <c r="H134" s="1">
        <v>124</v>
      </c>
      <c r="I134" s="9"/>
      <c r="J134" s="13"/>
      <c r="K134" s="9"/>
    </row>
    <row r="135" spans="2:11" x14ac:dyDescent="0.45">
      <c r="B135" s="1">
        <v>125</v>
      </c>
      <c r="C135" s="9"/>
      <c r="D135" s="13"/>
      <c r="E135" s="9"/>
      <c r="H135" s="1">
        <v>125</v>
      </c>
      <c r="I135" s="9"/>
      <c r="J135" s="13"/>
      <c r="K135" s="9"/>
    </row>
    <row r="136" spans="2:11" x14ac:dyDescent="0.45">
      <c r="B136" s="1">
        <v>126</v>
      </c>
      <c r="C136" s="9"/>
      <c r="D136" s="13"/>
      <c r="E136" s="9"/>
      <c r="H136" s="1">
        <v>126</v>
      </c>
      <c r="I136" s="9"/>
      <c r="J136" s="13"/>
      <c r="K136" s="9"/>
    </row>
    <row r="137" spans="2:11" x14ac:dyDescent="0.45">
      <c r="B137" s="1">
        <v>127</v>
      </c>
      <c r="C137" s="9"/>
      <c r="D137" s="13"/>
      <c r="E137" s="9"/>
      <c r="H137" s="1">
        <v>127</v>
      </c>
      <c r="I137" s="9"/>
      <c r="J137" s="13"/>
      <c r="K137" s="9"/>
    </row>
    <row r="138" spans="2:11" x14ac:dyDescent="0.45">
      <c r="B138" s="1">
        <v>128</v>
      </c>
      <c r="C138" s="9"/>
      <c r="D138" s="13"/>
      <c r="E138" s="9"/>
      <c r="H138" s="1">
        <v>128</v>
      </c>
      <c r="I138" s="9"/>
      <c r="J138" s="13"/>
      <c r="K138" s="9"/>
    </row>
    <row r="139" spans="2:11" x14ac:dyDescent="0.45">
      <c r="B139" s="1">
        <v>129</v>
      </c>
      <c r="C139" s="9"/>
      <c r="D139" s="13"/>
      <c r="E139" s="9"/>
      <c r="H139" s="1">
        <v>129</v>
      </c>
      <c r="I139" s="9"/>
      <c r="J139" s="13"/>
      <c r="K139" s="9"/>
    </row>
    <row r="140" spans="2:11" x14ac:dyDescent="0.45">
      <c r="B140" s="1">
        <v>130</v>
      </c>
      <c r="C140" s="9"/>
      <c r="D140" s="13"/>
      <c r="E140" s="9"/>
      <c r="H140" s="1">
        <v>130</v>
      </c>
      <c r="I140" s="9"/>
      <c r="J140" s="13"/>
      <c r="K140" s="9"/>
    </row>
    <row r="141" spans="2:11" x14ac:dyDescent="0.45">
      <c r="B141" s="1">
        <v>131</v>
      </c>
      <c r="C141" s="9"/>
      <c r="D141" s="13"/>
      <c r="E141" s="9"/>
      <c r="H141" s="1">
        <v>131</v>
      </c>
      <c r="I141" s="9"/>
      <c r="J141" s="13"/>
      <c r="K141" s="9"/>
    </row>
    <row r="142" spans="2:11" x14ac:dyDescent="0.45">
      <c r="B142" s="1">
        <v>132</v>
      </c>
      <c r="C142" s="9"/>
      <c r="D142" s="13"/>
      <c r="E142" s="9"/>
      <c r="H142" s="1">
        <v>132</v>
      </c>
      <c r="I142" s="9"/>
      <c r="J142" s="13"/>
      <c r="K142" s="9"/>
    </row>
    <row r="143" spans="2:11" x14ac:dyDescent="0.45">
      <c r="B143" s="1">
        <v>133</v>
      </c>
      <c r="C143" s="9"/>
      <c r="D143" s="13"/>
      <c r="E143" s="9"/>
      <c r="H143" s="1">
        <v>133</v>
      </c>
      <c r="I143" s="9"/>
      <c r="J143" s="13"/>
      <c r="K143" s="9"/>
    </row>
    <row r="144" spans="2:11" x14ac:dyDescent="0.45">
      <c r="B144" s="1">
        <v>134</v>
      </c>
      <c r="C144" s="9"/>
      <c r="D144" s="13"/>
      <c r="E144" s="9"/>
      <c r="H144" s="1">
        <v>134</v>
      </c>
      <c r="I144" s="9"/>
      <c r="J144" s="13"/>
      <c r="K144" s="9"/>
    </row>
    <row r="145" spans="2:11" x14ac:dyDescent="0.45">
      <c r="B145" s="1">
        <v>135</v>
      </c>
      <c r="C145" s="9"/>
      <c r="D145" s="13"/>
      <c r="E145" s="9"/>
      <c r="H145" s="1">
        <v>135</v>
      </c>
      <c r="I145" s="9"/>
      <c r="J145" s="13"/>
      <c r="K145" s="9"/>
    </row>
    <row r="146" spans="2:11" x14ac:dyDescent="0.45">
      <c r="B146" s="1">
        <v>136</v>
      </c>
      <c r="C146" s="9"/>
      <c r="D146" s="13"/>
      <c r="E146" s="9"/>
      <c r="H146" s="1">
        <v>136</v>
      </c>
      <c r="I146" s="9"/>
      <c r="J146" s="13"/>
      <c r="K146" s="9"/>
    </row>
    <row r="147" spans="2:11" x14ac:dyDescent="0.45">
      <c r="B147" s="1">
        <v>137</v>
      </c>
      <c r="C147" s="9"/>
      <c r="D147" s="13"/>
      <c r="E147" s="9"/>
      <c r="H147" s="1">
        <v>137</v>
      </c>
      <c r="I147" s="9"/>
      <c r="J147" s="13"/>
      <c r="K147" s="9"/>
    </row>
    <row r="148" spans="2:11" x14ac:dyDescent="0.45">
      <c r="B148" s="1">
        <v>138</v>
      </c>
      <c r="C148" s="9"/>
      <c r="D148" s="13"/>
      <c r="E148" s="9"/>
      <c r="H148" s="1">
        <v>138</v>
      </c>
      <c r="I148" s="9"/>
      <c r="J148" s="13"/>
      <c r="K148" s="9"/>
    </row>
    <row r="149" spans="2:11" x14ac:dyDescent="0.45">
      <c r="B149" s="1">
        <v>139</v>
      </c>
      <c r="C149" s="9"/>
      <c r="D149" s="13"/>
      <c r="E149" s="9"/>
      <c r="H149" s="1">
        <v>139</v>
      </c>
      <c r="I149" s="9"/>
      <c r="J149" s="13"/>
      <c r="K149" s="9"/>
    </row>
    <row r="150" spans="2:11" x14ac:dyDescent="0.45">
      <c r="B150" s="1">
        <v>140</v>
      </c>
      <c r="C150" s="9"/>
      <c r="D150" s="13"/>
      <c r="E150" s="9"/>
      <c r="H150" s="1">
        <v>140</v>
      </c>
      <c r="I150" s="9"/>
      <c r="J150" s="13"/>
      <c r="K150" s="9"/>
    </row>
    <row r="151" spans="2:11" x14ac:dyDescent="0.45">
      <c r="B151" s="1">
        <v>141</v>
      </c>
      <c r="C151" s="9"/>
      <c r="D151" s="13"/>
      <c r="E151" s="9"/>
      <c r="H151" s="1">
        <v>141</v>
      </c>
      <c r="I151" s="9"/>
      <c r="J151" s="13"/>
      <c r="K151" s="9"/>
    </row>
    <row r="152" spans="2:11" x14ac:dyDescent="0.45">
      <c r="B152" s="1">
        <v>142</v>
      </c>
      <c r="C152" s="9"/>
      <c r="D152" s="13"/>
      <c r="E152" s="9"/>
      <c r="H152" s="1">
        <v>142</v>
      </c>
      <c r="I152" s="9"/>
      <c r="J152" s="13"/>
      <c r="K152" s="9"/>
    </row>
    <row r="153" spans="2:11" x14ac:dyDescent="0.45">
      <c r="B153" s="1">
        <v>143</v>
      </c>
      <c r="C153" s="9"/>
      <c r="D153" s="13"/>
      <c r="E153" s="9"/>
      <c r="H153" s="1">
        <v>143</v>
      </c>
      <c r="I153" s="9"/>
      <c r="J153" s="13"/>
      <c r="K153" s="9"/>
    </row>
    <row r="154" spans="2:11" x14ac:dyDescent="0.45">
      <c r="B154" s="1">
        <v>144</v>
      </c>
      <c r="C154" s="9"/>
      <c r="D154" s="13"/>
      <c r="E154" s="9"/>
      <c r="H154" s="1">
        <v>144</v>
      </c>
      <c r="I154" s="9"/>
      <c r="J154" s="13"/>
      <c r="K154" s="9"/>
    </row>
    <row r="155" spans="2:11" x14ac:dyDescent="0.45">
      <c r="B155" s="1">
        <v>145</v>
      </c>
      <c r="C155" s="9"/>
      <c r="D155" s="13"/>
      <c r="E155" s="9"/>
      <c r="H155" s="1">
        <v>145</v>
      </c>
      <c r="I155" s="9"/>
      <c r="J155" s="13"/>
      <c r="K155" s="9"/>
    </row>
    <row r="156" spans="2:11" x14ac:dyDescent="0.45">
      <c r="B156" s="1">
        <v>146</v>
      </c>
      <c r="C156" s="9"/>
      <c r="D156" s="13"/>
      <c r="E156" s="9"/>
      <c r="H156" s="1">
        <v>146</v>
      </c>
      <c r="I156" s="9"/>
      <c r="J156" s="13"/>
      <c r="K156" s="9"/>
    </row>
    <row r="157" spans="2:11" x14ac:dyDescent="0.45">
      <c r="B157" s="1">
        <v>147</v>
      </c>
      <c r="C157" s="9"/>
      <c r="D157" s="13"/>
      <c r="E157" s="9"/>
      <c r="H157" s="1">
        <v>147</v>
      </c>
      <c r="I157" s="9"/>
      <c r="J157" s="13"/>
      <c r="K157" s="9"/>
    </row>
    <row r="158" spans="2:11" x14ac:dyDescent="0.45">
      <c r="B158" s="1">
        <v>148</v>
      </c>
      <c r="C158" s="9"/>
      <c r="D158" s="13"/>
      <c r="E158" s="9"/>
      <c r="H158" s="1">
        <v>148</v>
      </c>
      <c r="I158" s="9"/>
      <c r="J158" s="13"/>
      <c r="K158" s="9"/>
    </row>
    <row r="159" spans="2:11" x14ac:dyDescent="0.45">
      <c r="B159" s="1">
        <v>149</v>
      </c>
      <c r="C159" s="9"/>
      <c r="D159" s="13"/>
      <c r="E159" s="9"/>
      <c r="H159" s="1">
        <v>149</v>
      </c>
      <c r="I159" s="9"/>
      <c r="J159" s="13"/>
      <c r="K159" s="9"/>
    </row>
    <row r="160" spans="2:11" x14ac:dyDescent="0.45">
      <c r="B160" s="1">
        <v>150</v>
      </c>
      <c r="C160" s="9"/>
      <c r="D160" s="13"/>
      <c r="E160" s="9"/>
      <c r="H160" s="1">
        <v>150</v>
      </c>
      <c r="I160" s="9"/>
      <c r="J160" s="13"/>
      <c r="K160" s="9"/>
    </row>
    <row r="161" spans="2:11" x14ac:dyDescent="0.45">
      <c r="B161" s="1">
        <v>151</v>
      </c>
      <c r="C161" s="9"/>
      <c r="D161" s="13"/>
      <c r="E161" s="9"/>
      <c r="H161" s="1">
        <v>151</v>
      </c>
      <c r="I161" s="9"/>
      <c r="J161" s="13"/>
      <c r="K161" s="9"/>
    </row>
    <row r="162" spans="2:11" x14ac:dyDescent="0.45">
      <c r="B162" s="1">
        <v>152</v>
      </c>
      <c r="C162" s="9"/>
      <c r="D162" s="13"/>
      <c r="E162" s="9"/>
      <c r="H162" s="1">
        <v>152</v>
      </c>
      <c r="I162" s="9"/>
      <c r="J162" s="13"/>
      <c r="K162" s="9"/>
    </row>
    <row r="163" spans="2:11" x14ac:dyDescent="0.45">
      <c r="B163" s="1">
        <v>153</v>
      </c>
      <c r="C163" s="9"/>
      <c r="D163" s="13"/>
      <c r="E163" s="9"/>
      <c r="H163" s="1">
        <v>153</v>
      </c>
      <c r="I163" s="9"/>
      <c r="J163" s="13"/>
      <c r="K163" s="9"/>
    </row>
    <row r="164" spans="2:11" x14ac:dyDescent="0.45">
      <c r="B164" s="1">
        <v>154</v>
      </c>
      <c r="C164" s="9"/>
      <c r="D164" s="13"/>
      <c r="E164" s="9"/>
      <c r="H164" s="1">
        <v>154</v>
      </c>
      <c r="I164" s="9"/>
      <c r="J164" s="13"/>
      <c r="K164" s="9"/>
    </row>
    <row r="165" spans="2:11" x14ac:dyDescent="0.45">
      <c r="B165" s="1">
        <v>155</v>
      </c>
      <c r="C165" s="9"/>
      <c r="D165" s="13"/>
      <c r="E165" s="9"/>
      <c r="H165" s="1">
        <v>155</v>
      </c>
      <c r="I165" s="9"/>
      <c r="J165" s="13"/>
      <c r="K165" s="9"/>
    </row>
    <row r="166" spans="2:11" x14ac:dyDescent="0.45">
      <c r="B166" s="1">
        <v>156</v>
      </c>
      <c r="C166" s="9"/>
      <c r="D166" s="13"/>
      <c r="E166" s="9"/>
      <c r="H166" s="1">
        <v>156</v>
      </c>
      <c r="I166" s="9"/>
      <c r="J166" s="13"/>
      <c r="K166" s="9"/>
    </row>
    <row r="167" spans="2:11" x14ac:dyDescent="0.45">
      <c r="B167" s="1">
        <v>157</v>
      </c>
      <c r="C167" s="9"/>
      <c r="D167" s="13"/>
      <c r="E167" s="9"/>
      <c r="H167" s="1">
        <v>157</v>
      </c>
      <c r="I167" s="9"/>
      <c r="J167" s="13"/>
      <c r="K167" s="9"/>
    </row>
    <row r="168" spans="2:11" x14ac:dyDescent="0.45">
      <c r="B168" s="1">
        <v>158</v>
      </c>
      <c r="C168" s="9"/>
      <c r="D168" s="13"/>
      <c r="E168" s="9"/>
      <c r="H168" s="1">
        <v>158</v>
      </c>
      <c r="I168" s="9"/>
      <c r="J168" s="13"/>
      <c r="K168" s="9"/>
    </row>
    <row r="169" spans="2:11" x14ac:dyDescent="0.45">
      <c r="B169" s="1">
        <v>159</v>
      </c>
      <c r="C169" s="9"/>
      <c r="D169" s="13"/>
      <c r="E169" s="9"/>
      <c r="H169" s="1">
        <v>159</v>
      </c>
      <c r="I169" s="9"/>
      <c r="J169" s="13"/>
      <c r="K169" s="9"/>
    </row>
    <row r="170" spans="2:11" x14ac:dyDescent="0.45">
      <c r="B170" s="1">
        <v>160</v>
      </c>
      <c r="C170" s="9"/>
      <c r="D170" s="13"/>
      <c r="E170" s="9"/>
      <c r="H170" s="1">
        <v>160</v>
      </c>
      <c r="I170" s="9"/>
      <c r="J170" s="13"/>
      <c r="K170" s="9"/>
    </row>
    <row r="171" spans="2:11" x14ac:dyDescent="0.45">
      <c r="B171" s="1">
        <v>161</v>
      </c>
      <c r="C171" s="9"/>
      <c r="D171" s="13"/>
      <c r="E171" s="9"/>
      <c r="H171" s="1">
        <v>161</v>
      </c>
      <c r="I171" s="9"/>
      <c r="J171" s="13"/>
      <c r="K171" s="9"/>
    </row>
    <row r="172" spans="2:11" x14ac:dyDescent="0.45">
      <c r="B172" s="1">
        <v>162</v>
      </c>
      <c r="C172" s="9"/>
      <c r="D172" s="13"/>
      <c r="E172" s="9"/>
      <c r="H172" s="1">
        <v>162</v>
      </c>
      <c r="I172" s="9"/>
      <c r="J172" s="13"/>
      <c r="K172" s="9"/>
    </row>
    <row r="173" spans="2:11" x14ac:dyDescent="0.45">
      <c r="B173" s="1">
        <v>163</v>
      </c>
      <c r="C173" s="9"/>
      <c r="D173" s="13"/>
      <c r="E173" s="9"/>
      <c r="H173" s="1">
        <v>163</v>
      </c>
      <c r="I173" s="9"/>
      <c r="J173" s="13"/>
      <c r="K173" s="9"/>
    </row>
    <row r="174" spans="2:11" x14ac:dyDescent="0.45">
      <c r="B174" s="1">
        <v>164</v>
      </c>
      <c r="C174" s="9"/>
      <c r="D174" s="13"/>
      <c r="E174" s="9"/>
      <c r="H174" s="1">
        <v>164</v>
      </c>
      <c r="I174" s="9"/>
      <c r="J174" s="13"/>
      <c r="K174" s="9"/>
    </row>
    <row r="175" spans="2:11" x14ac:dyDescent="0.45">
      <c r="B175" s="1">
        <v>165</v>
      </c>
      <c r="C175" s="9"/>
      <c r="D175" s="13"/>
      <c r="E175" s="9"/>
      <c r="H175" s="1">
        <v>165</v>
      </c>
      <c r="I175" s="9"/>
      <c r="J175" s="13"/>
      <c r="K175" s="9"/>
    </row>
    <row r="176" spans="2:11" x14ac:dyDescent="0.45">
      <c r="B176" s="1">
        <v>166</v>
      </c>
      <c r="C176" s="9"/>
      <c r="D176" s="13"/>
      <c r="E176" s="9"/>
      <c r="H176" s="1">
        <v>166</v>
      </c>
      <c r="I176" s="9"/>
      <c r="J176" s="13"/>
      <c r="K176" s="9"/>
    </row>
    <row r="177" spans="2:11" x14ac:dyDescent="0.45">
      <c r="B177" s="1">
        <v>167</v>
      </c>
      <c r="C177" s="9"/>
      <c r="D177" s="13"/>
      <c r="E177" s="9"/>
      <c r="H177" s="1">
        <v>167</v>
      </c>
      <c r="I177" s="9"/>
      <c r="J177" s="13"/>
      <c r="K177" s="9"/>
    </row>
    <row r="178" spans="2:11" x14ac:dyDescent="0.45">
      <c r="B178" s="1">
        <v>168</v>
      </c>
      <c r="C178" s="9"/>
      <c r="D178" s="13"/>
      <c r="E178" s="9"/>
      <c r="H178" s="1">
        <v>168</v>
      </c>
      <c r="I178" s="9"/>
      <c r="J178" s="13"/>
      <c r="K178" s="9"/>
    </row>
    <row r="179" spans="2:11" x14ac:dyDescent="0.45">
      <c r="B179" s="1">
        <v>169</v>
      </c>
      <c r="C179" s="9"/>
      <c r="D179" s="13"/>
      <c r="E179" s="9"/>
      <c r="H179" s="1">
        <v>169</v>
      </c>
      <c r="I179" s="9"/>
      <c r="J179" s="13"/>
      <c r="K179" s="9"/>
    </row>
    <row r="180" spans="2:11" x14ac:dyDescent="0.45">
      <c r="B180" s="1">
        <v>170</v>
      </c>
      <c r="C180" s="9"/>
      <c r="D180" s="13"/>
      <c r="E180" s="9"/>
      <c r="H180" s="1">
        <v>170</v>
      </c>
      <c r="I180" s="9"/>
      <c r="J180" s="13"/>
      <c r="K180" s="9"/>
    </row>
    <row r="181" spans="2:11" x14ac:dyDescent="0.45">
      <c r="B181" s="1">
        <v>171</v>
      </c>
      <c r="C181" s="9"/>
      <c r="D181" s="13"/>
      <c r="E181" s="9"/>
      <c r="H181" s="1">
        <v>171</v>
      </c>
      <c r="I181" s="9"/>
      <c r="J181" s="13"/>
      <c r="K181" s="9"/>
    </row>
    <row r="182" spans="2:11" x14ac:dyDescent="0.45">
      <c r="B182" s="1">
        <v>172</v>
      </c>
      <c r="C182" s="9"/>
      <c r="D182" s="13"/>
      <c r="E182" s="9"/>
      <c r="H182" s="1">
        <v>172</v>
      </c>
      <c r="I182" s="9"/>
      <c r="J182" s="13"/>
      <c r="K182" s="9"/>
    </row>
    <row r="183" spans="2:11" x14ac:dyDescent="0.45">
      <c r="B183" s="1">
        <v>173</v>
      </c>
      <c r="C183" s="9"/>
      <c r="D183" s="13"/>
      <c r="E183" s="9"/>
      <c r="H183" s="1">
        <v>173</v>
      </c>
      <c r="I183" s="9"/>
      <c r="J183" s="13"/>
      <c r="K183" s="9"/>
    </row>
    <row r="184" spans="2:11" x14ac:dyDescent="0.45">
      <c r="B184" s="1">
        <v>174</v>
      </c>
      <c r="C184" s="9"/>
      <c r="D184" s="13"/>
      <c r="E184" s="9"/>
      <c r="H184" s="1">
        <v>174</v>
      </c>
      <c r="I184" s="9"/>
      <c r="J184" s="13"/>
      <c r="K184" s="9"/>
    </row>
    <row r="185" spans="2:11" x14ac:dyDescent="0.45">
      <c r="B185" s="1">
        <v>175</v>
      </c>
      <c r="C185" s="9"/>
      <c r="D185" s="13"/>
      <c r="E185" s="9"/>
      <c r="H185" s="1">
        <v>175</v>
      </c>
      <c r="I185" s="9"/>
      <c r="J185" s="13"/>
      <c r="K185" s="9"/>
    </row>
    <row r="186" spans="2:11" x14ac:dyDescent="0.45">
      <c r="B186" s="1">
        <v>176</v>
      </c>
      <c r="C186" s="9"/>
      <c r="D186" s="13"/>
      <c r="E186" s="9"/>
      <c r="H186" s="1">
        <v>176</v>
      </c>
      <c r="I186" s="9"/>
      <c r="J186" s="13"/>
      <c r="K186" s="9"/>
    </row>
    <row r="187" spans="2:11" x14ac:dyDescent="0.45">
      <c r="B187" s="1">
        <v>177</v>
      </c>
      <c r="C187" s="9"/>
      <c r="D187" s="13"/>
      <c r="E187" s="9"/>
      <c r="H187" s="1">
        <v>177</v>
      </c>
      <c r="I187" s="9"/>
      <c r="J187" s="13"/>
      <c r="K187" s="9"/>
    </row>
    <row r="188" spans="2:11" x14ac:dyDescent="0.45">
      <c r="B188" s="1">
        <v>178</v>
      </c>
      <c r="C188" s="9"/>
      <c r="D188" s="13"/>
      <c r="E188" s="9"/>
      <c r="H188" s="1">
        <v>178</v>
      </c>
      <c r="I188" s="9"/>
      <c r="J188" s="13"/>
      <c r="K188" s="9"/>
    </row>
    <row r="189" spans="2:11" x14ac:dyDescent="0.45">
      <c r="B189" s="1">
        <v>179</v>
      </c>
      <c r="C189" s="9"/>
      <c r="D189" s="13"/>
      <c r="E189" s="9"/>
      <c r="H189" s="1">
        <v>179</v>
      </c>
      <c r="I189" s="9"/>
      <c r="J189" s="13"/>
      <c r="K189" s="9"/>
    </row>
    <row r="190" spans="2:11" x14ac:dyDescent="0.45">
      <c r="B190" s="1">
        <v>180</v>
      </c>
      <c r="C190" s="9"/>
      <c r="D190" s="13"/>
      <c r="E190" s="9"/>
      <c r="H190" s="1">
        <v>180</v>
      </c>
      <c r="I190" s="9"/>
      <c r="J190" s="13"/>
      <c r="K190" s="9"/>
    </row>
    <row r="191" spans="2:11" x14ac:dyDescent="0.45">
      <c r="B191" s="1">
        <v>181</v>
      </c>
      <c r="C191" s="9"/>
      <c r="D191" s="13"/>
      <c r="E191" s="9"/>
      <c r="H191" s="1">
        <v>181</v>
      </c>
      <c r="I191" s="9"/>
      <c r="J191" s="13"/>
      <c r="K191" s="9"/>
    </row>
    <row r="192" spans="2:11" x14ac:dyDescent="0.45">
      <c r="B192" s="1">
        <v>182</v>
      </c>
      <c r="C192" s="9"/>
      <c r="D192" s="13"/>
      <c r="E192" s="9"/>
      <c r="H192" s="1">
        <v>182</v>
      </c>
      <c r="I192" s="9"/>
      <c r="J192" s="13"/>
      <c r="K192" s="9"/>
    </row>
    <row r="193" spans="2:11" x14ac:dyDescent="0.45">
      <c r="B193" s="1">
        <v>183</v>
      </c>
      <c r="C193" s="9"/>
      <c r="D193" s="13"/>
      <c r="E193" s="9"/>
      <c r="H193" s="1">
        <v>183</v>
      </c>
      <c r="I193" s="9"/>
      <c r="J193" s="13"/>
      <c r="K193" s="9"/>
    </row>
    <row r="194" spans="2:11" x14ac:dyDescent="0.45">
      <c r="B194" s="1">
        <v>184</v>
      </c>
      <c r="C194" s="9"/>
      <c r="D194" s="13"/>
      <c r="E194" s="9"/>
      <c r="H194" s="1">
        <v>184</v>
      </c>
      <c r="I194" s="9"/>
      <c r="J194" s="13"/>
      <c r="K194" s="9"/>
    </row>
    <row r="195" spans="2:11" x14ac:dyDescent="0.45">
      <c r="B195" s="1">
        <v>185</v>
      </c>
      <c r="C195" s="9"/>
      <c r="D195" s="13"/>
      <c r="E195" s="9"/>
      <c r="H195" s="1">
        <v>185</v>
      </c>
      <c r="I195" s="9"/>
      <c r="J195" s="13"/>
      <c r="K195" s="9"/>
    </row>
    <row r="196" spans="2:11" x14ac:dyDescent="0.45">
      <c r="B196" s="1">
        <v>186</v>
      </c>
      <c r="C196" s="9"/>
      <c r="D196" s="13"/>
      <c r="E196" s="9"/>
      <c r="H196" s="1">
        <v>186</v>
      </c>
      <c r="I196" s="9"/>
      <c r="J196" s="13"/>
      <c r="K196" s="9"/>
    </row>
    <row r="197" spans="2:11" x14ac:dyDescent="0.45">
      <c r="B197" s="1">
        <v>187</v>
      </c>
      <c r="C197" s="9"/>
      <c r="D197" s="13"/>
      <c r="E197" s="9"/>
      <c r="H197" s="1">
        <v>187</v>
      </c>
      <c r="I197" s="9"/>
      <c r="J197" s="13"/>
      <c r="K197" s="9"/>
    </row>
    <row r="198" spans="2:11" x14ac:dyDescent="0.45">
      <c r="B198" s="1">
        <v>188</v>
      </c>
      <c r="C198" s="9"/>
      <c r="D198" s="13"/>
      <c r="E198" s="9"/>
      <c r="H198" s="1">
        <v>188</v>
      </c>
      <c r="I198" s="9"/>
      <c r="J198" s="13"/>
      <c r="K198" s="9"/>
    </row>
    <row r="199" spans="2:11" x14ac:dyDescent="0.45">
      <c r="B199" s="1">
        <v>189</v>
      </c>
      <c r="C199" s="9"/>
      <c r="D199" s="13"/>
      <c r="E199" s="9"/>
      <c r="H199" s="1">
        <v>189</v>
      </c>
      <c r="I199" s="9"/>
      <c r="J199" s="13"/>
      <c r="K199" s="9"/>
    </row>
    <row r="200" spans="2:11" x14ac:dyDescent="0.45">
      <c r="B200" s="1">
        <v>190</v>
      </c>
      <c r="C200" s="9"/>
      <c r="D200" s="13"/>
      <c r="E200" s="9"/>
      <c r="H200" s="1">
        <v>190</v>
      </c>
      <c r="I200" s="9"/>
      <c r="J200" s="13"/>
      <c r="K200" s="9"/>
    </row>
    <row r="201" spans="2:11" x14ac:dyDescent="0.45">
      <c r="B201" s="1">
        <v>191</v>
      </c>
      <c r="C201" s="9"/>
      <c r="D201" s="13"/>
      <c r="E201" s="9"/>
      <c r="H201" s="1">
        <v>191</v>
      </c>
      <c r="I201" s="9"/>
      <c r="J201" s="13"/>
      <c r="K201" s="9"/>
    </row>
    <row r="202" spans="2:11" x14ac:dyDescent="0.45">
      <c r="B202" s="1">
        <v>192</v>
      </c>
      <c r="C202" s="9"/>
      <c r="D202" s="13"/>
      <c r="E202" s="9"/>
      <c r="H202" s="1">
        <v>192</v>
      </c>
      <c r="I202" s="9"/>
      <c r="J202" s="13"/>
      <c r="K202" s="9"/>
    </row>
    <row r="203" spans="2:11" x14ac:dyDescent="0.45">
      <c r="B203" s="1">
        <v>193</v>
      </c>
      <c r="C203" s="9"/>
      <c r="D203" s="13"/>
      <c r="E203" s="9"/>
      <c r="H203" s="1">
        <v>193</v>
      </c>
      <c r="I203" s="9"/>
      <c r="J203" s="13"/>
      <c r="K203" s="9"/>
    </row>
    <row r="204" spans="2:11" x14ac:dyDescent="0.45">
      <c r="B204" s="1">
        <v>194</v>
      </c>
      <c r="C204" s="9"/>
      <c r="D204" s="13"/>
      <c r="E204" s="9"/>
      <c r="H204" s="1">
        <v>194</v>
      </c>
      <c r="I204" s="9"/>
      <c r="J204" s="13"/>
      <c r="K204" s="9"/>
    </row>
    <row r="205" spans="2:11" x14ac:dyDescent="0.45">
      <c r="B205" s="1">
        <v>195</v>
      </c>
      <c r="C205" s="9"/>
      <c r="D205" s="13"/>
      <c r="E205" s="9"/>
      <c r="H205" s="1">
        <v>195</v>
      </c>
      <c r="I205" s="9"/>
      <c r="J205" s="13"/>
      <c r="K205" s="9"/>
    </row>
    <row r="206" spans="2:11" x14ac:dyDescent="0.45">
      <c r="B206" s="1">
        <v>196</v>
      </c>
      <c r="C206" s="9"/>
      <c r="D206" s="13"/>
      <c r="E206" s="9"/>
      <c r="H206" s="1">
        <v>196</v>
      </c>
      <c r="I206" s="9"/>
      <c r="J206" s="13"/>
      <c r="K206" s="9"/>
    </row>
    <row r="207" spans="2:11" x14ac:dyDescent="0.45">
      <c r="B207" s="1">
        <v>197</v>
      </c>
      <c r="C207" s="9"/>
      <c r="D207" s="13"/>
      <c r="E207" s="9"/>
      <c r="H207" s="1">
        <v>197</v>
      </c>
      <c r="I207" s="9"/>
      <c r="J207" s="13"/>
      <c r="K207" s="9"/>
    </row>
    <row r="208" spans="2:11" x14ac:dyDescent="0.45">
      <c r="B208" s="1">
        <v>198</v>
      </c>
      <c r="C208" s="9"/>
      <c r="D208" s="13"/>
      <c r="E208" s="9"/>
      <c r="H208" s="1">
        <v>198</v>
      </c>
      <c r="I208" s="9"/>
      <c r="J208" s="13"/>
      <c r="K208" s="9"/>
    </row>
    <row r="209" spans="2:11" x14ac:dyDescent="0.45">
      <c r="B209" s="1">
        <v>199</v>
      </c>
      <c r="C209" s="9"/>
      <c r="D209" s="13"/>
      <c r="E209" s="9"/>
      <c r="H209" s="1">
        <v>199</v>
      </c>
      <c r="I209" s="9"/>
      <c r="J209" s="13"/>
      <c r="K209" s="9"/>
    </row>
    <row r="210" spans="2:11" ht="18.600000000000001" thickBot="1" x14ac:dyDescent="0.5">
      <c r="B210" s="3">
        <v>200</v>
      </c>
      <c r="C210" s="10"/>
      <c r="D210" s="14"/>
      <c r="E210" s="10"/>
      <c r="H210" s="3">
        <v>200</v>
      </c>
      <c r="I210" s="10"/>
      <c r="J210" s="14"/>
      <c r="K210" s="10"/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5B8E0-64D7-4FBD-8457-65423BC5E71E}">
  <dimension ref="B9:L111"/>
  <sheetViews>
    <sheetView workbookViewId="0">
      <selection activeCell="B10" sqref="B10"/>
    </sheetView>
  </sheetViews>
  <sheetFormatPr defaultRowHeight="18" x14ac:dyDescent="0.45"/>
  <cols>
    <col min="8" max="8" width="18.3984375" customWidth="1"/>
  </cols>
  <sheetData>
    <row r="9" spans="2:12" ht="18.600000000000001" thickBot="1" x14ac:dyDescent="0.5">
      <c r="C9" s="12" t="s">
        <v>13</v>
      </c>
      <c r="E9" s="12" t="s">
        <v>14</v>
      </c>
    </row>
    <row r="10" spans="2:12" ht="18.600000000000001" thickBot="1" x14ac:dyDescent="0.5">
      <c r="B10" s="6" t="s">
        <v>0</v>
      </c>
      <c r="C10" s="6" t="s">
        <v>10</v>
      </c>
      <c r="D10" s="8" t="s">
        <v>11</v>
      </c>
      <c r="E10" s="7" t="s">
        <v>10</v>
      </c>
      <c r="F10" s="7" t="s">
        <v>11</v>
      </c>
      <c r="H10" s="17" t="s">
        <v>13</v>
      </c>
      <c r="I10" s="17" t="s">
        <v>5</v>
      </c>
      <c r="J10" s="19">
        <v>1</v>
      </c>
      <c r="K10" s="18" t="s">
        <v>12</v>
      </c>
      <c r="L10" s="5">
        <v>3</v>
      </c>
    </row>
    <row r="11" spans="2:12" ht="18.600000000000001" thickBot="1" x14ac:dyDescent="0.5">
      <c r="B11" s="1">
        <v>0</v>
      </c>
      <c r="C11" s="1">
        <f t="shared" ref="C11:C42" si="0">($J$10+$L$10)*COS(2*PI()*B11/100)-$J$10*COS(2*PI()*($J$10+$L$10)*B11/($J$10*100))</f>
        <v>3</v>
      </c>
      <c r="D11" s="9">
        <f t="shared" ref="D11:D42" si="1">($J$10+$L$10)*SIN(2*PI()*B11/100)-$J$10*SIN(2*PI()*($J$10+$L$10)*B11/($J$10*100))</f>
        <v>0</v>
      </c>
      <c r="E11" s="2">
        <f t="shared" ref="E11:E42" si="2">($L$12-$J$12)*COS(2*PI()*B11/100)+$J$12*COS(2*PI()*($L$12-$J$12)*B11/($J$12*100))</f>
        <v>3</v>
      </c>
      <c r="F11" s="2">
        <f t="shared" ref="F11:F42" si="3">($L$12-$J$12)*SIN(2*PI()*B11/100)-$J$12*SIN(2*PI()*($L$12-$J$12)*B11/($J$12*100))</f>
        <v>0</v>
      </c>
    </row>
    <row r="12" spans="2:12" ht="18.600000000000001" thickBot="1" x14ac:dyDescent="0.5">
      <c r="B12" s="1">
        <v>1</v>
      </c>
      <c r="C12" s="1">
        <f t="shared" si="0"/>
        <v>3.0235237525844552</v>
      </c>
      <c r="D12" s="9">
        <f t="shared" si="1"/>
        <v>2.4721909523987007E-3</v>
      </c>
      <c r="E12" s="2">
        <f t="shared" si="2"/>
        <v>2.9881681581710211</v>
      </c>
      <c r="F12" s="2">
        <f t="shared" si="3"/>
        <v>2.4780549432248944E-4</v>
      </c>
      <c r="H12" s="17" t="s">
        <v>14</v>
      </c>
      <c r="I12" s="17" t="s">
        <v>5</v>
      </c>
      <c r="J12" s="19">
        <v>1</v>
      </c>
      <c r="K12" s="18" t="s">
        <v>12</v>
      </c>
      <c r="L12" s="5">
        <v>3</v>
      </c>
    </row>
    <row r="13" spans="2:12" x14ac:dyDescent="0.45">
      <c r="B13" s="1">
        <v>2</v>
      </c>
      <c r="C13" s="1">
        <f t="shared" si="0"/>
        <v>3.092152125214048</v>
      </c>
      <c r="D13" s="9">
        <f t="shared" si="1"/>
        <v>1.957926015550171E-2</v>
      </c>
      <c r="E13" s="2">
        <f t="shared" si="2"/>
        <v>2.952812563757587</v>
      </c>
      <c r="F13" s="2">
        <f t="shared" si="3"/>
        <v>1.9765799637537218E-3</v>
      </c>
    </row>
    <row r="14" spans="2:12" x14ac:dyDescent="0.45">
      <c r="B14" s="1">
        <v>3</v>
      </c>
      <c r="C14" s="1">
        <f t="shared" si="0"/>
        <v>3.2001803754933436</v>
      </c>
      <c r="D14" s="9">
        <f t="shared" si="1"/>
        <v>6.4978152414209789E-2</v>
      </c>
      <c r="E14" s="2">
        <f t="shared" si="2"/>
        <v>2.894350987345629</v>
      </c>
      <c r="F14" s="2">
        <f t="shared" si="3"/>
        <v>6.6380764867712827E-3</v>
      </c>
    </row>
    <row r="15" spans="2:12" x14ac:dyDescent="0.45">
      <c r="B15" s="1">
        <v>4</v>
      </c>
      <c r="C15" s="1">
        <f t="shared" si="0"/>
        <v>3.3385058495355278</v>
      </c>
      <c r="D15" s="9">
        <f t="shared" si="1"/>
        <v>0.1504316231574041</v>
      </c>
      <c r="E15" s="2">
        <f t="shared" si="2"/>
        <v>2.8134730023011256</v>
      </c>
      <c r="F15" s="2">
        <f t="shared" si="3"/>
        <v>1.5626100227994266E-2</v>
      </c>
    </row>
    <row r="16" spans="2:12" x14ac:dyDescent="0.45">
      <c r="B16" s="1">
        <v>5</v>
      </c>
      <c r="C16" s="1">
        <f t="shared" si="0"/>
        <v>3.4952090708056667</v>
      </c>
      <c r="D16" s="9">
        <f t="shared" si="1"/>
        <v>0.28501146120463605</v>
      </c>
      <c r="E16" s="2">
        <f t="shared" si="2"/>
        <v>2.7111300269652547</v>
      </c>
      <c r="F16" s="2">
        <f t="shared" si="3"/>
        <v>3.0248736457421654E-2</v>
      </c>
    </row>
    <row r="17" spans="2:6" x14ac:dyDescent="0.45">
      <c r="B17" s="1">
        <v>6</v>
      </c>
      <c r="C17" s="1">
        <f t="shared" si="0"/>
        <v>3.6563154240236924</v>
      </c>
      <c r="D17" s="9">
        <f t="shared" si="1"/>
        <v>0.47447148231044012</v>
      </c>
      <c r="E17" s="2">
        <f t="shared" si="2"/>
        <v>2.5885215991979145</v>
      </c>
      <c r="F17" s="2">
        <f t="shared" si="3"/>
        <v>5.1701999440667223E-2</v>
      </c>
    </row>
    <row r="18" spans="2:6" x14ac:dyDescent="0.45">
      <c r="B18" s="1">
        <v>7</v>
      </c>
      <c r="C18" s="1">
        <f t="shared" si="0"/>
        <v>3.8066895244498031</v>
      </c>
      <c r="D18" s="9">
        <f t="shared" si="1"/>
        <v>0.72082991553160192</v>
      </c>
      <c r="E18" s="2">
        <f t="shared" si="2"/>
        <v>2.4470780946807289</v>
      </c>
      <c r="F18" s="2">
        <f t="shared" si="3"/>
        <v>8.1045340354356066E-2</v>
      </c>
    </row>
    <row r="19" spans="2:6" x14ac:dyDescent="0.45">
      <c r="B19" s="1">
        <v>8</v>
      </c>
      <c r="C19" s="1">
        <f t="shared" si="0"/>
        <v>3.9310060117405272</v>
      </c>
      <c r="D19" s="9">
        <f t="shared" si="1"/>
        <v>1.0221876439408417</v>
      </c>
      <c r="E19" s="2">
        <f t="shared" si="2"/>
        <v>2.2884401550667235</v>
      </c>
      <c r="F19" s="2">
        <f t="shared" si="3"/>
        <v>0.11917942270141557</v>
      </c>
    </row>
    <row r="20" spans="2:6" x14ac:dyDescent="0.45">
      <c r="B20" s="1">
        <v>9</v>
      </c>
      <c r="C20" s="1">
        <f t="shared" si="0"/>
        <v>4.0147356917567496</v>
      </c>
      <c r="D20" s="9">
        <f t="shared" si="1"/>
        <v>1.3727939371401974</v>
      </c>
      <c r="E20" s="2">
        <f t="shared" si="2"/>
        <v>2.1144351425691026</v>
      </c>
      <c r="F20" s="2">
        <f t="shared" si="3"/>
        <v>0.16682653749197374</v>
      </c>
    </row>
    <row r="21" spans="2:6" x14ac:dyDescent="0.45">
      <c r="B21" s="1">
        <v>10</v>
      </c>
      <c r="C21" s="1">
        <f t="shared" si="0"/>
        <v>4.0450849718747373</v>
      </c>
      <c r="D21" s="9">
        <f t="shared" si="1"/>
        <v>1.7633557568774192</v>
      </c>
      <c r="E21" s="2">
        <f t="shared" si="2"/>
        <v>1.9270509831248424</v>
      </c>
      <c r="F21" s="2">
        <f t="shared" si="3"/>
        <v>0.22451398828979274</v>
      </c>
    </row>
    <row r="22" spans="2:6" x14ac:dyDescent="0.45">
      <c r="B22" s="1">
        <v>11</v>
      </c>
      <c r="C22" s="1">
        <f t="shared" si="0"/>
        <v>4.0118294569914088</v>
      </c>
      <c r="D22" s="9">
        <f t="shared" si="1"/>
        <v>2.1815714063100806</v>
      </c>
      <c r="E22" s="2">
        <f t="shared" si="2"/>
        <v>1.7284078001373033</v>
      </c>
      <c r="F22" s="2">
        <f t="shared" si="3"/>
        <v>0.29256072876869066</v>
      </c>
    </row>
    <row r="23" spans="2:6" x14ac:dyDescent="0.45">
      <c r="B23" s="1">
        <v>12</v>
      </c>
      <c r="C23" s="1">
        <f t="shared" si="0"/>
        <v>3.9079892110001238</v>
      </c>
      <c r="D23" s="9">
        <f t="shared" si="1"/>
        <v>2.6128551901504498</v>
      </c>
      <c r="E23" s="2">
        <f t="shared" si="2"/>
        <v>1.5207277743721366</v>
      </c>
      <c r="F23" s="2">
        <f t="shared" si="3"/>
        <v>0.37106748342910567</v>
      </c>
    </row>
    <row r="24" spans="2:6" x14ac:dyDescent="0.45">
      <c r="B24" s="1">
        <v>13</v>
      </c>
      <c r="C24" s="1">
        <f t="shared" si="0"/>
        <v>3.7303031250292324</v>
      </c>
      <c r="D24" s="9">
        <f t="shared" si="1"/>
        <v>3.0412077432499505</v>
      </c>
      <c r="E24" s="2">
        <f t="shared" si="2"/>
        <v>1.3063036923280638</v>
      </c>
      <c r="F24" s="2">
        <f t="shared" si="3"/>
        <v>0.45991052641455155</v>
      </c>
    </row>
    <row r="25" spans="2:6" x14ac:dyDescent="0.45">
      <c r="B25" s="1">
        <v>14</v>
      </c>
      <c r="C25" s="1">
        <f t="shared" si="0"/>
        <v>3.4794724448830103</v>
      </c>
      <c r="D25" s="9">
        <f t="shared" si="1"/>
        <v>3.4501775237878349</v>
      </c>
      <c r="E25" s="2">
        <f t="shared" si="2"/>
        <v>1.0874666649116549</v>
      </c>
      <c r="F25" s="2">
        <f t="shared" si="3"/>
        <v>0.55873923482288979</v>
      </c>
    </row>
    <row r="26" spans="2:6" x14ac:dyDescent="0.45">
      <c r="B26" s="1">
        <v>15</v>
      </c>
      <c r="C26" s="1">
        <f t="shared" si="0"/>
        <v>3.1601580035448409</v>
      </c>
      <c r="D26" s="9">
        <f t="shared" si="1"/>
        <v>3.8238532297922623</v>
      </c>
      <c r="E26" s="2">
        <f t="shared" si="2"/>
        <v>0.86655351020999938</v>
      </c>
      <c r="F26" s="2">
        <f t="shared" si="3"/>
        <v>0.66697747245474104</v>
      </c>
    </row>
    <row r="27" spans="2:6" x14ac:dyDescent="0.45">
      <c r="B27" s="1">
        <v>16</v>
      </c>
      <c r="C27" s="1">
        <f t="shared" si="0"/>
        <v>2.7807311696646755</v>
      </c>
      <c r="D27" s="9">
        <f t="shared" si="1"/>
        <v>4.1478249447838493</v>
      </c>
      <c r="E27" s="2">
        <f t="shared" si="2"/>
        <v>0.64587429839292043</v>
      </c>
      <c r="F27" s="2">
        <f t="shared" si="3"/>
        <v>0.78382879853801068</v>
      </c>
    </row>
    <row r="28" spans="2:6" x14ac:dyDescent="0.45">
      <c r="B28" s="1">
        <v>17</v>
      </c>
      <c r="C28" s="1">
        <f t="shared" si="0"/>
        <v>2.3527939879719328</v>
      </c>
      <c r="D28" s="9">
        <f t="shared" si="1"/>
        <v>4.4100537726414748</v>
      </c>
      <c r="E28" s="2">
        <f t="shared" si="2"/>
        <v>0.42768055322443344</v>
      </c>
      <c r="F28" s="2">
        <f t="shared" si="3"/>
        <v>0.90828543458571243</v>
      </c>
    </row>
    <row r="29" spans="2:6" x14ac:dyDescent="0.45">
      <c r="B29" s="1">
        <v>18</v>
      </c>
      <c r="C29" s="1">
        <f t="shared" si="0"/>
        <v>1.8904984808460152</v>
      </c>
      <c r="D29" s="9">
        <f t="shared" si="1"/>
        <v>4.6015954605927671</v>
      </c>
      <c r="E29" s="2">
        <f t="shared" si="2"/>
        <v>0.21413459338145557</v>
      </c>
      <c r="F29" s="2">
        <f t="shared" si="3"/>
        <v>1.0391408621562499</v>
      </c>
    </row>
    <row r="30" spans="2:6" x14ac:dyDescent="0.45">
      <c r="B30" s="1">
        <v>19</v>
      </c>
      <c r="C30" s="1">
        <f t="shared" si="0"/>
        <v>1.4097076912093995</v>
      </c>
      <c r="D30" s="9">
        <f t="shared" si="1"/>
        <v>4.7171326719812772</v>
      </c>
      <c r="E30" s="2">
        <f t="shared" si="2"/>
        <v>7.2804779479448412E-3</v>
      </c>
      <c r="F30" s="2">
        <f t="shared" si="3"/>
        <v>1.175005865847814</v>
      </c>
    </row>
    <row r="31" spans="2:6" x14ac:dyDescent="0.45">
      <c r="B31" s="1">
        <v>20</v>
      </c>
      <c r="C31" s="1">
        <f t="shared" si="0"/>
        <v>0.92705098312484258</v>
      </c>
      <c r="D31" s="9">
        <f t="shared" si="1"/>
        <v>4.7552825814757682</v>
      </c>
      <c r="E31" s="2">
        <f t="shared" si="2"/>
        <v>-0.19098300562505244</v>
      </c>
      <c r="F31" s="2">
        <f t="shared" si="3"/>
        <v>1.3143277802978339</v>
      </c>
    </row>
    <row r="32" spans="2:6" x14ac:dyDescent="0.45">
      <c r="B32" s="1">
        <v>21</v>
      </c>
      <c r="C32" s="1">
        <f t="shared" si="0"/>
        <v>0.45893275368042219</v>
      </c>
      <c r="D32" s="9">
        <f t="shared" si="1"/>
        <v>4.7186605700165396</v>
      </c>
      <c r="E32" s="2">
        <f t="shared" si="2"/>
        <v>-0.37892690571415411</v>
      </c>
      <c r="F32" s="2">
        <f t="shared" si="3"/>
        <v>1.4554126481555469</v>
      </c>
    </row>
    <row r="33" spans="2:6" x14ac:dyDescent="0.45">
      <c r="B33" s="1">
        <v>22</v>
      </c>
      <c r="C33" s="1">
        <f t="shared" si="0"/>
        <v>2.055663092148774E-2</v>
      </c>
      <c r="D33" s="9">
        <f t="shared" si="1"/>
        <v>4.6136961088434436</v>
      </c>
      <c r="E33" s="2">
        <f t="shared" si="2"/>
        <v>-0.55501385671680192</v>
      </c>
      <c r="F33" s="2">
        <f t="shared" si="3"/>
        <v>1.5964499487726991</v>
      </c>
    </row>
    <row r="34" spans="2:6" x14ac:dyDescent="0.45">
      <c r="B34" s="1">
        <v>23</v>
      </c>
      <c r="C34" s="1">
        <f t="shared" si="0"/>
        <v>-0.37497374578664522</v>
      </c>
      <c r="D34" s="9">
        <f t="shared" si="1"/>
        <v>4.4502124793596272</v>
      </c>
      <c r="E34" s="2">
        <f t="shared" si="2"/>
        <v>-0.717916694000022</v>
      </c>
      <c r="F34" s="2">
        <f t="shared" si="3"/>
        <v>1.7355395154641002</v>
      </c>
    </row>
    <row r="35" spans="2:6" x14ac:dyDescent="0.45">
      <c r="B35" s="1">
        <v>24</v>
      </c>
      <c r="C35" s="1">
        <f t="shared" si="0"/>
        <v>-0.71742108301137686</v>
      </c>
      <c r="D35" s="9">
        <f t="shared" si="1"/>
        <v>4.2407968008779413</v>
      </c>
      <c r="E35" s="2">
        <f t="shared" si="2"/>
        <v>-0.86653366225585071</v>
      </c>
      <c r="F35" s="2">
        <f t="shared" si="3"/>
        <v>1.8707202232922386</v>
      </c>
    </row>
    <row r="36" spans="2:6" x14ac:dyDescent="0.45">
      <c r="B36" s="1">
        <v>25</v>
      </c>
      <c r="C36" s="1">
        <f t="shared" si="0"/>
        <v>-0.99999999999999978</v>
      </c>
      <c r="D36" s="9">
        <f t="shared" si="1"/>
        <v>4</v>
      </c>
      <c r="E36" s="2">
        <f t="shared" si="2"/>
        <v>-0.99999999999999989</v>
      </c>
      <c r="F36" s="2">
        <f t="shared" si="3"/>
        <v>1.9999999999999998</v>
      </c>
    </row>
    <row r="37" spans="2:6" x14ac:dyDescent="0.45">
      <c r="B37" s="1">
        <v>26</v>
      </c>
      <c r="C37" s="1">
        <f t="shared" si="0"/>
        <v>-1.2197452392458847</v>
      </c>
      <c r="D37" s="9">
        <f t="shared" si="1"/>
        <v>3.7434170265482312</v>
      </c>
      <c r="E37" s="2">
        <f t="shared" si="2"/>
        <v>-1.1176957403731047</v>
      </c>
      <c r="F37" s="2">
        <f t="shared" si="3"/>
        <v>2.1213866904208474</v>
      </c>
    </row>
    <row r="38" spans="2:6" x14ac:dyDescent="0.45">
      <c r="B38" s="1">
        <v>27</v>
      </c>
      <c r="C38" s="1">
        <f t="shared" si="0"/>
        <v>-1.3776396143010805</v>
      </c>
      <c r="D38" s="9">
        <f t="shared" si="1"/>
        <v>3.4867051311561967</v>
      </c>
      <c r="E38" s="2">
        <f t="shared" si="2"/>
        <v>-1.2192496282572396</v>
      </c>
      <c r="F38" s="2">
        <f t="shared" si="3"/>
        <v>2.2329192897938102</v>
      </c>
    </row>
    <row r="39" spans="2:6" x14ac:dyDescent="0.45">
      <c r="B39" s="1">
        <v>28</v>
      </c>
      <c r="C39" s="1">
        <f t="shared" si="0"/>
        <v>-1.47849388576431</v>
      </c>
      <c r="D39" s="9">
        <f t="shared" si="1"/>
        <v>3.2446018969860662</v>
      </c>
      <c r="E39" s="2">
        <f t="shared" si="2"/>
        <v>-1.3045391150597005</v>
      </c>
      <c r="F39" s="2">
        <f t="shared" si="3"/>
        <v>2.3326990541420551</v>
      </c>
    </row>
    <row r="40" spans="2:6" x14ac:dyDescent="0.45">
      <c r="B40" s="1">
        <v>29</v>
      </c>
      <c r="C40" s="1">
        <f t="shared" si="0"/>
        <v>-1.5305863436384159</v>
      </c>
      <c r="D40" s="9">
        <f t="shared" si="1"/>
        <v>3.030004719012509</v>
      </c>
      <c r="E40" s="2">
        <f t="shared" si="2"/>
        <v>-1.3736864543735732</v>
      </c>
      <c r="F40" s="2">
        <f t="shared" si="3"/>
        <v>2.4189199963589774</v>
      </c>
    </row>
    <row r="41" spans="2:6" x14ac:dyDescent="0.45">
      <c r="B41" s="1">
        <v>30</v>
      </c>
      <c r="C41" s="1">
        <f t="shared" si="0"/>
        <v>-1.545084971874737</v>
      </c>
      <c r="D41" s="9">
        <f t="shared" si="1"/>
        <v>2.8531695488854614</v>
      </c>
      <c r="E41" s="2">
        <f t="shared" si="2"/>
        <v>-1.4270509831248419</v>
      </c>
      <c r="F41" s="2">
        <f t="shared" si="3"/>
        <v>2.4898982848827798</v>
      </c>
    </row>
    <row r="42" spans="2:6" x14ac:dyDescent="0.45">
      <c r="B42" s="1">
        <v>31</v>
      </c>
      <c r="C42" s="1">
        <f t="shared" si="0"/>
        <v>-1.5352887302680251</v>
      </c>
      <c r="D42" s="9">
        <f t="shared" si="1"/>
        <v>2.7210792151247345</v>
      </c>
      <c r="E42" s="2">
        <f t="shared" si="2"/>
        <v>-1.4652177327907672</v>
      </c>
      <c r="F42" s="2">
        <f t="shared" si="3"/>
        <v>2.5441000777051914</v>
      </c>
    </row>
    <row r="43" spans="2:6" x14ac:dyDescent="0.45">
      <c r="B43" s="1">
        <v>32</v>
      </c>
      <c r="C43" s="1">
        <f t="shared" ref="C43:C74" si="4">($J$10+$L$10)*COS(2*PI()*B43/100)-$J$10*COS(2*PI()*($J$10+$L$10)*B43/($J$10*100))</f>
        <v>-1.5157358516745658</v>
      </c>
      <c r="D43" s="9">
        <f t="shared" ref="D43:D74" si="5">($J$10+$L$10)*SIN(2*PI()*B43/100)-$J$10*SIN(2*PI()*($J$10+$L$10)*B43/($J$10*100))</f>
        <v>2.6370209591353895</v>
      </c>
      <c r="E43" s="2">
        <f t="shared" ref="E43:E74" si="6">($L$12-$J$12)*COS(2*PI()*B43/100)+$J$12*COS(2*PI()*($L$12-$J$12)*B43/($J$12*100))</f>
        <v>-1.4889825728788351</v>
      </c>
      <c r="F43" s="2">
        <f t="shared" ref="F43:F74" si="7">($L$12-$J$12)*SIN(2*PI()*B43/100)-$J$12*SIN(2*PI()*($L$12-$J$12)*B43/($J$12*100))</f>
        <v>2.5801673477078282</v>
      </c>
    </row>
    <row r="44" spans="2:6" x14ac:dyDescent="0.45">
      <c r="B44" s="1">
        <v>33</v>
      </c>
      <c r="C44" s="1">
        <f t="shared" si="4"/>
        <v>-1.5012354048417884</v>
      </c>
      <c r="D44" s="9">
        <f t="shared" si="5"/>
        <v>2.6003996677094348</v>
      </c>
      <c r="E44" s="2">
        <f t="shared" si="6"/>
        <v>-1.4993341431824272</v>
      </c>
      <c r="F44" s="2">
        <f t="shared" si="7"/>
        <v>2.5969412855897422</v>
      </c>
    </row>
    <row r="45" spans="2:6" x14ac:dyDescent="0.45">
      <c r="B45" s="1">
        <v>34</v>
      </c>
      <c r="C45" s="1">
        <f t="shared" si="4"/>
        <v>-1.5058831901672969</v>
      </c>
      <c r="D45" s="9">
        <f t="shared" si="5"/>
        <v>2.6067984592322713</v>
      </c>
      <c r="E45" s="2">
        <f t="shared" si="6"/>
        <v>-1.497432881523066</v>
      </c>
      <c r="F45" s="2">
        <f t="shared" si="7"/>
        <v>2.5934829034700497</v>
      </c>
    </row>
    <row r="46" spans="2:6" x14ac:dyDescent="0.45">
      <c r="B46" s="1">
        <v>35</v>
      </c>
      <c r="C46" s="1">
        <f t="shared" si="4"/>
        <v>-1.5421240147949449</v>
      </c>
      <c r="D46" s="9">
        <f t="shared" si="5"/>
        <v>2.6482827252073164</v>
      </c>
      <c r="E46" s="2">
        <f t="shared" si="6"/>
        <v>-1.4845874989598937</v>
      </c>
      <c r="F46" s="2">
        <f t="shared" si="7"/>
        <v>2.5690905050450485</v>
      </c>
    </row>
    <row r="47" spans="2:6" x14ac:dyDescent="0.45">
      <c r="B47" s="1">
        <v>36</v>
      </c>
      <c r="C47" s="1">
        <f t="shared" si="4"/>
        <v>-1.6199194731065076</v>
      </c>
      <c r="D47" s="9">
        <f t="shared" si="5"/>
        <v>2.7139284184184791</v>
      </c>
      <c r="E47" s="2">
        <f t="shared" si="6"/>
        <v>-1.4622292940831041</v>
      </c>
      <c r="F47" s="2">
        <f t="shared" si="7"/>
        <v>2.5233137362802673</v>
      </c>
    </row>
    <row r="48" spans="2:6" x14ac:dyDescent="0.45">
      <c r="B48" s="1">
        <v>37</v>
      </c>
      <c r="C48" s="1">
        <f t="shared" si="4"/>
        <v>-1.7460737224002769</v>
      </c>
      <c r="D48" s="9">
        <f t="shared" si="5"/>
        <v>2.790541276121342</v>
      </c>
      <c r="E48" s="2">
        <f t="shared" si="6"/>
        <v>-1.4318847313866907</v>
      </c>
      <c r="F48" s="2">
        <f t="shared" si="7"/>
        <v>2.4559639832710944</v>
      </c>
    </row>
    <row r="49" spans="2:6" x14ac:dyDescent="0.45">
      <c r="B49" s="1">
        <v>38</v>
      </c>
      <c r="C49" s="1">
        <f t="shared" si="4"/>
        <v>-1.9237598083711673</v>
      </c>
      <c r="D49" s="9">
        <f t="shared" si="5"/>
        <v>2.8635216572790587</v>
      </c>
      <c r="E49" s="2">
        <f t="shared" si="6"/>
        <v>-1.3951467353135099</v>
      </c>
      <c r="F49" s="2">
        <f t="shared" si="7"/>
        <v>2.3671209402856492</v>
      </c>
    </row>
    <row r="50" spans="2:6" x14ac:dyDescent="0.45">
      <c r="B50" s="1">
        <v>39</v>
      </c>
      <c r="C50" s="1">
        <f t="shared" si="4"/>
        <v>-2.1522764852149048</v>
      </c>
      <c r="D50" s="9">
        <f t="shared" si="5"/>
        <v>2.9178205116794365</v>
      </c>
      <c r="E50" s="2">
        <f t="shared" si="6"/>
        <v>-1.3536451709658541</v>
      </c>
      <c r="F50" s="2">
        <f t="shared" si="7"/>
        <v>2.2571352302260683</v>
      </c>
    </row>
    <row r="51" spans="2:6" x14ac:dyDescent="0.45">
      <c r="B51" s="1">
        <v>40</v>
      </c>
      <c r="C51" s="1">
        <f t="shared" si="4"/>
        <v>-2.4270509831248415</v>
      </c>
      <c r="D51" s="9">
        <f t="shared" si="5"/>
        <v>2.9389262614623659</v>
      </c>
      <c r="E51" s="2">
        <f t="shared" si="6"/>
        <v>-1.3090169943749475</v>
      </c>
      <c r="F51" s="2">
        <f t="shared" si="7"/>
        <v>2.1266270208801004</v>
      </c>
    </row>
    <row r="52" spans="2:6" x14ac:dyDescent="0.45">
      <c r="B52" s="1">
        <v>41</v>
      </c>
      <c r="C52" s="1">
        <f t="shared" si="4"/>
        <v>-2.7398877122593683</v>
      </c>
      <c r="D52" s="9">
        <f t="shared" si="5"/>
        <v>2.9138204226917761</v>
      </c>
      <c r="E52" s="2">
        <f t="shared" si="6"/>
        <v>-1.2628765594389579</v>
      </c>
      <c r="F52" s="2">
        <f t="shared" si="7"/>
        <v>1.976480642424014</v>
      </c>
    </row>
    <row r="53" spans="2:6" x14ac:dyDescent="0.45">
      <c r="B53" s="1">
        <v>42</v>
      </c>
      <c r="C53" s="1">
        <f t="shared" si="4"/>
        <v>-3.0794474286103819</v>
      </c>
      <c r="D53" s="9">
        <f t="shared" si="5"/>
        <v>2.8318417488728804</v>
      </c>
      <c r="E53" s="2">
        <f t="shared" si="6"/>
        <v>-1.2167865651087304</v>
      </c>
      <c r="F53" s="2">
        <f t="shared" si="7"/>
        <v>1.8078352737054453</v>
      </c>
    </row>
    <row r="54" spans="2:6" x14ac:dyDescent="0.45">
      <c r="B54" s="1">
        <v>43</v>
      </c>
      <c r="C54" s="1">
        <f t="shared" si="4"/>
        <v>-3.4319268952783517</v>
      </c>
      <c r="D54" s="9">
        <f t="shared" si="5"/>
        <v>2.6854044169889799</v>
      </c>
      <c r="E54" s="2">
        <f t="shared" si="6"/>
        <v>-1.1722301151833494</v>
      </c>
      <c r="F54" s="2">
        <f t="shared" si="7"/>
        <v>1.6220718259059352</v>
      </c>
    </row>
    <row r="55" spans="2:6" x14ac:dyDescent="0.45">
      <c r="B55" s="1">
        <v>44</v>
      </c>
      <c r="C55" s="1">
        <f t="shared" si="4"/>
        <v>-3.781896463082318</v>
      </c>
      <c r="D55" s="9">
        <f t="shared" si="5"/>
        <v>2.4705249391669843</v>
      </c>
      <c r="E55" s="2">
        <f t="shared" si="6"/>
        <v>-1.1305843443550914</v>
      </c>
      <c r="F55" s="2">
        <f t="shared" si="7"/>
        <v>1.4207962112980452</v>
      </c>
    </row>
    <row r="56" spans="2:6" x14ac:dyDescent="0.45">
      <c r="B56" s="1">
        <v>45</v>
      </c>
      <c r="C56" s="1">
        <f t="shared" si="4"/>
        <v>-4.1132430595555611</v>
      </c>
      <c r="D56" s="9">
        <f t="shared" si="5"/>
        <v>2.1871244937949439</v>
      </c>
      <c r="E56" s="2">
        <f t="shared" si="6"/>
        <v>-1.0930960382153598</v>
      </c>
      <c r="F56" s="2">
        <f t="shared" si="7"/>
        <v>1.2058192410423683</v>
      </c>
    </row>
    <row r="57" spans="2:6" x14ac:dyDescent="0.45">
      <c r="B57" s="1">
        <v>46</v>
      </c>
      <c r="C57" s="1">
        <f t="shared" si="4"/>
        <v>-4.4101594394935191</v>
      </c>
      <c r="D57" s="9">
        <f t="shared" si="5"/>
        <v>1.8390874741614369</v>
      </c>
      <c r="E57" s="2">
        <f t="shared" si="6"/>
        <v>-1.0608596422133987</v>
      </c>
      <c r="F57" s="2">
        <f t="shared" si="7"/>
        <v>0.97913344843142658</v>
      </c>
    </row>
    <row r="58" spans="2:6" x14ac:dyDescent="0.45">
      <c r="B58" s="1">
        <v>47</v>
      </c>
      <c r="C58" s="1">
        <f t="shared" si="4"/>
        <v>-4.6581176303361662</v>
      </c>
      <c r="D58" s="9">
        <f t="shared" si="5"/>
        <v>1.4340723642715867</v>
      </c>
      <c r="E58" s="2">
        <f t="shared" si="6"/>
        <v>-1.0347980155691259</v>
      </c>
      <c r="F58" s="2">
        <f t="shared" si="7"/>
        <v>0.74288718185612701</v>
      </c>
    </row>
    <row r="59" spans="2:6" x14ac:dyDescent="0.45">
      <c r="B59" s="1">
        <v>48</v>
      </c>
      <c r="C59" s="1">
        <f t="shared" si="4"/>
        <v>-4.8447654853017745</v>
      </c>
      <c r="D59" s="9">
        <f t="shared" si="5"/>
        <v>0.98308660835893447</v>
      </c>
      <c r="E59" s="2">
        <f t="shared" si="6"/>
        <v>-1.0156462415003245</v>
      </c>
      <c r="F59" s="2">
        <f t="shared" si="7"/>
        <v>0.49935635429346442</v>
      </c>
    </row>
    <row r="60" spans="2:6" x14ac:dyDescent="0.45">
      <c r="B60" s="1">
        <v>49</v>
      </c>
      <c r="C60" s="1">
        <f t="shared" si="4"/>
        <v>-4.9606900748417173</v>
      </c>
      <c r="D60" s="9">
        <f t="shared" si="5"/>
        <v>0.49985196528210996</v>
      </c>
      <c r="E60" s="2">
        <f t="shared" si="6"/>
        <v>-1.0039387555420654</v>
      </c>
      <c r="F60" s="2">
        <f t="shared" si="7"/>
        <v>0.25091427262293181</v>
      </c>
    </row>
    <row r="61" spans="2:6" x14ac:dyDescent="0.45">
      <c r="B61" s="1">
        <v>50</v>
      </c>
      <c r="C61" s="1">
        <f t="shared" si="4"/>
        <v>-5</v>
      </c>
      <c r="D61" s="9">
        <f t="shared" si="5"/>
        <v>9.8011876392689601E-16</v>
      </c>
      <c r="E61" s="2">
        <f t="shared" si="6"/>
        <v>-1</v>
      </c>
      <c r="F61" s="2">
        <f t="shared" si="7"/>
        <v>4.90059381963448E-16</v>
      </c>
    </row>
    <row r="62" spans="2:6" x14ac:dyDescent="0.45">
      <c r="B62" s="1">
        <v>51</v>
      </c>
      <c r="C62" s="1">
        <f t="shared" si="4"/>
        <v>-4.9606900748417173</v>
      </c>
      <c r="D62" s="9">
        <f t="shared" si="5"/>
        <v>-0.49985196528210807</v>
      </c>
      <c r="E62" s="2">
        <f t="shared" si="6"/>
        <v>-1.0039387555420651</v>
      </c>
      <c r="F62" s="2">
        <f t="shared" si="7"/>
        <v>-0.25091427262293087</v>
      </c>
    </row>
    <row r="63" spans="2:6" x14ac:dyDescent="0.45">
      <c r="B63" s="1">
        <v>52</v>
      </c>
      <c r="C63" s="1">
        <f t="shared" si="4"/>
        <v>-4.8447654853017745</v>
      </c>
      <c r="D63" s="9">
        <f t="shared" si="5"/>
        <v>-0.98308660835893258</v>
      </c>
      <c r="E63" s="2">
        <f t="shared" si="6"/>
        <v>-1.0156462415003247</v>
      </c>
      <c r="F63" s="2">
        <f t="shared" si="7"/>
        <v>-0.49935635429346348</v>
      </c>
    </row>
    <row r="64" spans="2:6" x14ac:dyDescent="0.45">
      <c r="B64" s="1">
        <v>53</v>
      </c>
      <c r="C64" s="1">
        <f t="shared" si="4"/>
        <v>-4.6581176303361653</v>
      </c>
      <c r="D64" s="9">
        <f t="shared" si="5"/>
        <v>-1.434072364271588</v>
      </c>
      <c r="E64" s="2">
        <f t="shared" si="6"/>
        <v>-1.0347980155691259</v>
      </c>
      <c r="F64" s="2">
        <f t="shared" si="7"/>
        <v>-0.74288718185612779</v>
      </c>
    </row>
    <row r="65" spans="2:6" x14ac:dyDescent="0.45">
      <c r="B65" s="1">
        <v>54</v>
      </c>
      <c r="C65" s="1">
        <f t="shared" si="4"/>
        <v>-4.4101594394935217</v>
      </c>
      <c r="D65" s="9">
        <f t="shared" si="5"/>
        <v>-1.8390874741614329</v>
      </c>
      <c r="E65" s="2">
        <f t="shared" si="6"/>
        <v>-1.0608596422133987</v>
      </c>
      <c r="F65" s="2">
        <f t="shared" si="7"/>
        <v>-0.97913344843142402</v>
      </c>
    </row>
    <row r="66" spans="2:6" x14ac:dyDescent="0.45">
      <c r="B66" s="1">
        <v>55</v>
      </c>
      <c r="C66" s="1">
        <f t="shared" si="4"/>
        <v>-4.1132430595555629</v>
      </c>
      <c r="D66" s="9">
        <f t="shared" si="5"/>
        <v>-2.1871244937949426</v>
      </c>
      <c r="E66" s="2">
        <f t="shared" si="6"/>
        <v>-1.0930960382153598</v>
      </c>
      <c r="F66" s="2">
        <f t="shared" si="7"/>
        <v>-1.2058192410423674</v>
      </c>
    </row>
    <row r="67" spans="2:6" x14ac:dyDescent="0.45">
      <c r="B67" s="1">
        <v>56</v>
      </c>
      <c r="C67" s="1">
        <f t="shared" si="4"/>
        <v>-3.7818964630823193</v>
      </c>
      <c r="D67" s="9">
        <f t="shared" si="5"/>
        <v>-2.4705249391669835</v>
      </c>
      <c r="E67" s="2">
        <f t="shared" si="6"/>
        <v>-1.1305843443550914</v>
      </c>
      <c r="F67" s="2">
        <f t="shared" si="7"/>
        <v>-1.4207962112980446</v>
      </c>
    </row>
    <row r="68" spans="2:6" x14ac:dyDescent="0.45">
      <c r="B68" s="1">
        <v>57</v>
      </c>
      <c r="C68" s="1">
        <f t="shared" si="4"/>
        <v>-3.4319268952783557</v>
      </c>
      <c r="D68" s="9">
        <f t="shared" si="5"/>
        <v>-2.6854044169889781</v>
      </c>
      <c r="E68" s="2">
        <f t="shared" si="6"/>
        <v>-1.172230115183349</v>
      </c>
      <c r="F68" s="2">
        <f t="shared" si="7"/>
        <v>-1.6220718259059332</v>
      </c>
    </row>
    <row r="69" spans="2:6" x14ac:dyDescent="0.45">
      <c r="B69" s="1">
        <v>58</v>
      </c>
      <c r="C69" s="1">
        <f t="shared" si="4"/>
        <v>-3.079447428610381</v>
      </c>
      <c r="D69" s="9">
        <f t="shared" si="5"/>
        <v>-2.8318417488728809</v>
      </c>
      <c r="E69" s="2">
        <f t="shared" si="6"/>
        <v>-1.2167865651087304</v>
      </c>
      <c r="F69" s="2">
        <f t="shared" si="7"/>
        <v>-1.8078352737054459</v>
      </c>
    </row>
    <row r="70" spans="2:6" x14ac:dyDescent="0.45">
      <c r="B70" s="1">
        <v>59</v>
      </c>
      <c r="C70" s="1">
        <f t="shared" si="4"/>
        <v>-2.7398877122593719</v>
      </c>
      <c r="D70" s="9">
        <f t="shared" si="5"/>
        <v>-2.9138204226917757</v>
      </c>
      <c r="E70" s="2">
        <f t="shared" si="6"/>
        <v>-1.2628765594389573</v>
      </c>
      <c r="F70" s="2">
        <f t="shared" si="7"/>
        <v>-1.9764806424240122</v>
      </c>
    </row>
    <row r="71" spans="2:6" x14ac:dyDescent="0.45">
      <c r="B71" s="1">
        <v>60</v>
      </c>
      <c r="C71" s="1">
        <f t="shared" si="4"/>
        <v>-2.427050983124845</v>
      </c>
      <c r="D71" s="9">
        <f t="shared" si="5"/>
        <v>-2.9389262614623659</v>
      </c>
      <c r="E71" s="2">
        <f t="shared" si="6"/>
        <v>-1.309016994374947</v>
      </c>
      <c r="F71" s="2">
        <f t="shared" si="7"/>
        <v>-2.1266270208800986</v>
      </c>
    </row>
    <row r="72" spans="2:6" x14ac:dyDescent="0.45">
      <c r="B72" s="1">
        <v>61</v>
      </c>
      <c r="C72" s="1">
        <f t="shared" si="4"/>
        <v>-2.1522764852149057</v>
      </c>
      <c r="D72" s="9">
        <f t="shared" si="5"/>
        <v>-2.9178205116794369</v>
      </c>
      <c r="E72" s="2">
        <f t="shared" si="6"/>
        <v>-1.3536451709658537</v>
      </c>
      <c r="F72" s="2">
        <f t="shared" si="7"/>
        <v>-2.2571352302260679</v>
      </c>
    </row>
    <row r="73" spans="2:6" x14ac:dyDescent="0.45">
      <c r="B73" s="1">
        <v>62</v>
      </c>
      <c r="C73" s="1">
        <f t="shared" si="4"/>
        <v>-1.9237598083711696</v>
      </c>
      <c r="D73" s="9">
        <f t="shared" si="5"/>
        <v>-2.8635216572790596</v>
      </c>
      <c r="E73" s="2">
        <f t="shared" si="6"/>
        <v>-1.3951467353135094</v>
      </c>
      <c r="F73" s="2">
        <f t="shared" si="7"/>
        <v>-2.3671209402856483</v>
      </c>
    </row>
    <row r="74" spans="2:6" x14ac:dyDescent="0.45">
      <c r="B74" s="1">
        <v>63</v>
      </c>
      <c r="C74" s="1">
        <f t="shared" si="4"/>
        <v>-1.7460737224002767</v>
      </c>
      <c r="D74" s="9">
        <f t="shared" si="5"/>
        <v>-2.7905412761213415</v>
      </c>
      <c r="E74" s="2">
        <f t="shared" si="6"/>
        <v>-1.4318847313866909</v>
      </c>
      <c r="F74" s="2">
        <f t="shared" si="7"/>
        <v>-2.4559639832710944</v>
      </c>
    </row>
    <row r="75" spans="2:6" x14ac:dyDescent="0.45">
      <c r="B75" s="1">
        <v>64</v>
      </c>
      <c r="C75" s="1">
        <f t="shared" ref="C75:C106" si="8">($J$10+$L$10)*COS(2*PI()*B75/100)-$J$10*COS(2*PI()*($J$10+$L$10)*B75/($J$10*100))</f>
        <v>-1.619919473106507</v>
      </c>
      <c r="D75" s="9">
        <f t="shared" ref="D75:D111" si="9">($J$10+$L$10)*SIN(2*PI()*B75/100)-$J$10*SIN(2*PI()*($J$10+$L$10)*B75/($J$10*100))</f>
        <v>-2.7139284184184786</v>
      </c>
      <c r="E75" s="2">
        <f t="shared" ref="E75:E111" si="10">($L$12-$J$12)*COS(2*PI()*B75/100)+$J$12*COS(2*PI()*($L$12-$J$12)*B75/($J$12*100))</f>
        <v>-1.4622292940831041</v>
      </c>
      <c r="F75" s="2">
        <f t="shared" ref="F75:F111" si="11">($L$12-$J$12)*SIN(2*PI()*B75/100)-$J$12*SIN(2*PI()*($L$12-$J$12)*B75/($J$12*100))</f>
        <v>-2.5233137362802673</v>
      </c>
    </row>
    <row r="76" spans="2:6" x14ac:dyDescent="0.45">
      <c r="B76" s="1">
        <v>65</v>
      </c>
      <c r="C76" s="1">
        <f t="shared" si="8"/>
        <v>-1.5421240147949451</v>
      </c>
      <c r="D76" s="9">
        <f t="shared" si="9"/>
        <v>-2.6482827252073169</v>
      </c>
      <c r="E76" s="2">
        <f t="shared" si="10"/>
        <v>-1.4845874989598937</v>
      </c>
      <c r="F76" s="2">
        <f t="shared" si="11"/>
        <v>-2.5690905050450485</v>
      </c>
    </row>
    <row r="77" spans="2:6" x14ac:dyDescent="0.45">
      <c r="B77" s="1">
        <v>66</v>
      </c>
      <c r="C77" s="1">
        <f t="shared" si="8"/>
        <v>-1.5058831901672969</v>
      </c>
      <c r="D77" s="9">
        <f t="shared" si="9"/>
        <v>-2.6067984592322713</v>
      </c>
      <c r="E77" s="2">
        <f t="shared" si="10"/>
        <v>-1.497432881523066</v>
      </c>
      <c r="F77" s="2">
        <f t="shared" si="11"/>
        <v>-2.5934829034700497</v>
      </c>
    </row>
    <row r="78" spans="2:6" x14ac:dyDescent="0.45">
      <c r="B78" s="1">
        <v>67</v>
      </c>
      <c r="C78" s="1">
        <f t="shared" si="8"/>
        <v>-1.5012354048417884</v>
      </c>
      <c r="D78" s="9">
        <f t="shared" si="9"/>
        <v>-2.6003996677094348</v>
      </c>
      <c r="E78" s="2">
        <f t="shared" si="10"/>
        <v>-1.4993341431824272</v>
      </c>
      <c r="F78" s="2">
        <f t="shared" si="11"/>
        <v>-2.5969412855897422</v>
      </c>
    </row>
    <row r="79" spans="2:6" x14ac:dyDescent="0.45">
      <c r="B79" s="1">
        <v>68</v>
      </c>
      <c r="C79" s="1">
        <f t="shared" si="8"/>
        <v>-1.5157358516745663</v>
      </c>
      <c r="D79" s="9">
        <f t="shared" si="9"/>
        <v>-2.6370209591353904</v>
      </c>
      <c r="E79" s="2">
        <f t="shared" si="10"/>
        <v>-1.4889825728788348</v>
      </c>
      <c r="F79" s="2">
        <f t="shared" si="11"/>
        <v>-2.5801673477078282</v>
      </c>
    </row>
    <row r="80" spans="2:6" x14ac:dyDescent="0.45">
      <c r="B80" s="1">
        <v>69</v>
      </c>
      <c r="C80" s="1">
        <f t="shared" si="8"/>
        <v>-1.5352887302680254</v>
      </c>
      <c r="D80" s="9">
        <f t="shared" si="9"/>
        <v>-2.7210792151247345</v>
      </c>
      <c r="E80" s="2">
        <f t="shared" si="10"/>
        <v>-1.4652177327907674</v>
      </c>
      <c r="F80" s="2">
        <f t="shared" si="11"/>
        <v>-2.5441000777051914</v>
      </c>
    </row>
    <row r="81" spans="2:6" x14ac:dyDescent="0.45">
      <c r="B81" s="1">
        <v>70</v>
      </c>
      <c r="C81" s="1">
        <f t="shared" si="8"/>
        <v>-1.545084971874737</v>
      </c>
      <c r="D81" s="9">
        <f t="shared" si="9"/>
        <v>-2.8531695488854605</v>
      </c>
      <c r="E81" s="2">
        <f t="shared" si="10"/>
        <v>-1.4270509831248424</v>
      </c>
      <c r="F81" s="2">
        <f t="shared" si="11"/>
        <v>-2.4898982848827806</v>
      </c>
    </row>
    <row r="82" spans="2:6" x14ac:dyDescent="0.45">
      <c r="B82" s="1">
        <v>71</v>
      </c>
      <c r="C82" s="1">
        <f t="shared" si="8"/>
        <v>-1.5305863436384155</v>
      </c>
      <c r="D82" s="9">
        <f t="shared" si="9"/>
        <v>-3.0300047190125103</v>
      </c>
      <c r="E82" s="2">
        <f t="shared" si="10"/>
        <v>-1.3736864543735727</v>
      </c>
      <c r="F82" s="2">
        <f t="shared" si="11"/>
        <v>-2.4189199963589769</v>
      </c>
    </row>
    <row r="83" spans="2:6" x14ac:dyDescent="0.45">
      <c r="B83" s="1">
        <v>72</v>
      </c>
      <c r="C83" s="1">
        <f t="shared" si="8"/>
        <v>-1.4784938857643102</v>
      </c>
      <c r="D83" s="9">
        <f t="shared" si="9"/>
        <v>-3.2446018969860662</v>
      </c>
      <c r="E83" s="2">
        <f t="shared" si="10"/>
        <v>-1.3045391150597008</v>
      </c>
      <c r="F83" s="2">
        <f t="shared" si="11"/>
        <v>-2.3326990541420556</v>
      </c>
    </row>
    <row r="84" spans="2:6" x14ac:dyDescent="0.45">
      <c r="B84" s="1">
        <v>73</v>
      </c>
      <c r="C84" s="1">
        <f t="shared" si="8"/>
        <v>-1.3776396143010814</v>
      </c>
      <c r="D84" s="9">
        <f t="shared" si="9"/>
        <v>-3.4867051311561945</v>
      </c>
      <c r="E84" s="2">
        <f t="shared" si="10"/>
        <v>-1.21924962825724</v>
      </c>
      <c r="F84" s="2">
        <f t="shared" si="11"/>
        <v>-2.232919289793811</v>
      </c>
    </row>
    <row r="85" spans="2:6" x14ac:dyDescent="0.45">
      <c r="B85" s="1">
        <v>74</v>
      </c>
      <c r="C85" s="1">
        <f t="shared" si="8"/>
        <v>-1.2197452392458841</v>
      </c>
      <c r="D85" s="9">
        <f t="shared" si="9"/>
        <v>-3.7434170265482321</v>
      </c>
      <c r="E85" s="2">
        <f t="shared" si="10"/>
        <v>-1.1176957403731043</v>
      </c>
      <c r="F85" s="2">
        <f t="shared" si="11"/>
        <v>-2.1213866904208469</v>
      </c>
    </row>
    <row r="86" spans="2:6" x14ac:dyDescent="0.45">
      <c r="B86" s="1">
        <v>75</v>
      </c>
      <c r="C86" s="1">
        <f t="shared" si="8"/>
        <v>-1.0000000000000007</v>
      </c>
      <c r="D86" s="9">
        <f t="shared" si="9"/>
        <v>-3.9999999999999991</v>
      </c>
      <c r="E86" s="2">
        <f t="shared" si="10"/>
        <v>-1.0000000000000004</v>
      </c>
      <c r="F86" s="2">
        <f t="shared" si="11"/>
        <v>-2.0000000000000004</v>
      </c>
    </row>
    <row r="87" spans="2:6" x14ac:dyDescent="0.45">
      <c r="B87" s="1">
        <v>76</v>
      </c>
      <c r="C87" s="1">
        <f t="shared" si="8"/>
        <v>-0.7174210830113803</v>
      </c>
      <c r="D87" s="9">
        <f t="shared" si="9"/>
        <v>-4.2407968008779386</v>
      </c>
      <c r="E87" s="2">
        <f t="shared" si="10"/>
        <v>-0.86653366225585238</v>
      </c>
      <c r="F87" s="2">
        <f t="shared" si="11"/>
        <v>-1.87072022329224</v>
      </c>
    </row>
    <row r="88" spans="2:6" x14ac:dyDescent="0.45">
      <c r="B88" s="1">
        <v>77</v>
      </c>
      <c r="C88" s="1">
        <f t="shared" si="8"/>
        <v>-0.37497374578664666</v>
      </c>
      <c r="D88" s="9">
        <f t="shared" si="9"/>
        <v>-4.4502124793596263</v>
      </c>
      <c r="E88" s="2">
        <f t="shared" si="10"/>
        <v>-0.71791669400002256</v>
      </c>
      <c r="F88" s="2">
        <f t="shared" si="11"/>
        <v>-1.7355395154641009</v>
      </c>
    </row>
    <row r="89" spans="2:6" x14ac:dyDescent="0.45">
      <c r="B89" s="1">
        <v>78</v>
      </c>
      <c r="C89" s="1">
        <f t="shared" si="8"/>
        <v>2.055663092148452E-2</v>
      </c>
      <c r="D89" s="9">
        <f t="shared" si="9"/>
        <v>-4.6136961088434427</v>
      </c>
      <c r="E89" s="2">
        <f t="shared" si="10"/>
        <v>-0.55501385671680314</v>
      </c>
      <c r="F89" s="2">
        <f t="shared" si="11"/>
        <v>-1.5964499487727002</v>
      </c>
    </row>
    <row r="90" spans="2:6" x14ac:dyDescent="0.45">
      <c r="B90" s="1">
        <v>79</v>
      </c>
      <c r="C90" s="1">
        <f t="shared" si="8"/>
        <v>0.45893275368042363</v>
      </c>
      <c r="D90" s="9">
        <f t="shared" si="9"/>
        <v>-4.7186605700165396</v>
      </c>
      <c r="E90" s="2">
        <f t="shared" si="10"/>
        <v>-0.37892690571415361</v>
      </c>
      <c r="F90" s="2">
        <f t="shared" si="11"/>
        <v>-1.4554126481555465</v>
      </c>
    </row>
    <row r="91" spans="2:6" x14ac:dyDescent="0.45">
      <c r="B91" s="1">
        <v>80</v>
      </c>
      <c r="C91" s="1">
        <f t="shared" si="8"/>
        <v>0.9270509831248408</v>
      </c>
      <c r="D91" s="9">
        <f t="shared" si="9"/>
        <v>-4.7552825814757682</v>
      </c>
      <c r="E91" s="2">
        <f t="shared" si="10"/>
        <v>-0.19098300562505321</v>
      </c>
      <c r="F91" s="2">
        <f t="shared" si="11"/>
        <v>-1.3143277802978344</v>
      </c>
    </row>
    <row r="92" spans="2:6" x14ac:dyDescent="0.45">
      <c r="B92" s="1">
        <v>81</v>
      </c>
      <c r="C92" s="1">
        <f t="shared" si="8"/>
        <v>1.4097076912093942</v>
      </c>
      <c r="D92" s="9">
        <f t="shared" si="9"/>
        <v>-4.7171326719812781</v>
      </c>
      <c r="E92" s="2">
        <f t="shared" si="10"/>
        <v>7.2804779479425097E-3</v>
      </c>
      <c r="F92" s="2">
        <f t="shared" si="11"/>
        <v>-1.1750058658478153</v>
      </c>
    </row>
    <row r="93" spans="2:6" x14ac:dyDescent="0.45">
      <c r="B93" s="1">
        <v>82</v>
      </c>
      <c r="C93" s="1">
        <f t="shared" si="8"/>
        <v>1.8904984808460084</v>
      </c>
      <c r="D93" s="9">
        <f t="shared" si="9"/>
        <v>-4.6015954605927689</v>
      </c>
      <c r="E93" s="2">
        <f t="shared" si="10"/>
        <v>0.21413459338145258</v>
      </c>
      <c r="F93" s="2">
        <f t="shared" si="11"/>
        <v>-1.0391408621562519</v>
      </c>
    </row>
    <row r="94" spans="2:6" x14ac:dyDescent="0.45">
      <c r="B94" s="1">
        <v>83</v>
      </c>
      <c r="C94" s="1">
        <f t="shared" si="8"/>
        <v>2.3527939879719373</v>
      </c>
      <c r="D94" s="9">
        <f t="shared" si="9"/>
        <v>-4.4100537726414721</v>
      </c>
      <c r="E94" s="2">
        <f t="shared" si="10"/>
        <v>0.42768055322443566</v>
      </c>
      <c r="F94" s="2">
        <f t="shared" si="11"/>
        <v>-0.90828543458571109</v>
      </c>
    </row>
    <row r="95" spans="2:6" x14ac:dyDescent="0.45">
      <c r="B95" s="1">
        <v>84</v>
      </c>
      <c r="C95" s="1">
        <f t="shared" si="8"/>
        <v>2.7807311696646773</v>
      </c>
      <c r="D95" s="9">
        <f t="shared" si="9"/>
        <v>-4.1478249447838484</v>
      </c>
      <c r="E95" s="2">
        <f t="shared" si="10"/>
        <v>0.6458742983929211</v>
      </c>
      <c r="F95" s="2">
        <f t="shared" si="11"/>
        <v>-0.78382879853801024</v>
      </c>
    </row>
    <row r="96" spans="2:6" x14ac:dyDescent="0.45">
      <c r="B96" s="1">
        <v>85</v>
      </c>
      <c r="C96" s="1">
        <f t="shared" si="8"/>
        <v>3.1601580035448387</v>
      </c>
      <c r="D96" s="9">
        <f t="shared" si="9"/>
        <v>-3.8238532297922641</v>
      </c>
      <c r="E96" s="2">
        <f t="shared" si="10"/>
        <v>0.86655351020999793</v>
      </c>
      <c r="F96" s="2">
        <f t="shared" si="11"/>
        <v>-0.6669774724547417</v>
      </c>
    </row>
    <row r="97" spans="2:6" x14ac:dyDescent="0.45">
      <c r="B97" s="1">
        <v>86</v>
      </c>
      <c r="C97" s="1">
        <f t="shared" si="8"/>
        <v>3.4794724448830077</v>
      </c>
      <c r="D97" s="9">
        <f t="shared" si="9"/>
        <v>-3.4501775237878385</v>
      </c>
      <c r="E97" s="2">
        <f t="shared" si="10"/>
        <v>1.0874666649116529</v>
      </c>
      <c r="F97" s="2">
        <f t="shared" si="11"/>
        <v>-0.55873923482289067</v>
      </c>
    </row>
    <row r="98" spans="2:6" x14ac:dyDescent="0.45">
      <c r="B98" s="1">
        <v>87</v>
      </c>
      <c r="C98" s="1">
        <f t="shared" si="8"/>
        <v>3.7303031250292289</v>
      </c>
      <c r="D98" s="9">
        <f t="shared" si="9"/>
        <v>-3.0412077432499562</v>
      </c>
      <c r="E98" s="2">
        <f t="shared" si="10"/>
        <v>1.3063036923280607</v>
      </c>
      <c r="F98" s="2">
        <f t="shared" si="11"/>
        <v>-0.45991052641455277</v>
      </c>
    </row>
    <row r="99" spans="2:6" x14ac:dyDescent="0.45">
      <c r="B99" s="1">
        <v>88</v>
      </c>
      <c r="C99" s="1">
        <f t="shared" si="8"/>
        <v>3.9079892110001229</v>
      </c>
      <c r="D99" s="9">
        <f t="shared" si="9"/>
        <v>-2.6128551901504533</v>
      </c>
      <c r="E99" s="2">
        <f t="shared" si="10"/>
        <v>1.520727774372135</v>
      </c>
      <c r="F99" s="2">
        <f t="shared" si="11"/>
        <v>-0.37106748342910634</v>
      </c>
    </row>
    <row r="100" spans="2:6" x14ac:dyDescent="0.45">
      <c r="B100" s="1">
        <v>89</v>
      </c>
      <c r="C100" s="1">
        <f t="shared" si="8"/>
        <v>4.0118294569914088</v>
      </c>
      <c r="D100" s="9">
        <f t="shared" si="9"/>
        <v>-2.1815714063100802</v>
      </c>
      <c r="E100" s="2">
        <f t="shared" si="10"/>
        <v>1.7284078001373036</v>
      </c>
      <c r="F100" s="2">
        <f t="shared" si="11"/>
        <v>-0.29256072876869066</v>
      </c>
    </row>
    <row r="101" spans="2:6" x14ac:dyDescent="0.45">
      <c r="B101" s="1">
        <v>90</v>
      </c>
      <c r="C101" s="1">
        <f t="shared" si="8"/>
        <v>4.0450849718747373</v>
      </c>
      <c r="D101" s="9">
        <f t="shared" si="9"/>
        <v>-1.763355756877421</v>
      </c>
      <c r="E101" s="2">
        <f t="shared" si="10"/>
        <v>1.9270509831248417</v>
      </c>
      <c r="F101" s="2">
        <f t="shared" si="11"/>
        <v>-0.22451398828979297</v>
      </c>
    </row>
    <row r="102" spans="2:6" x14ac:dyDescent="0.45">
      <c r="B102" s="1">
        <v>91</v>
      </c>
      <c r="C102" s="1">
        <f t="shared" si="8"/>
        <v>4.0147356917567505</v>
      </c>
      <c r="D102" s="9">
        <f t="shared" si="9"/>
        <v>-1.3727939371402007</v>
      </c>
      <c r="E102" s="2">
        <f t="shared" si="10"/>
        <v>2.1144351425691013</v>
      </c>
      <c r="F102" s="2">
        <f t="shared" si="11"/>
        <v>-0.16682653749197418</v>
      </c>
    </row>
    <row r="103" spans="2:6" x14ac:dyDescent="0.45">
      <c r="B103" s="1">
        <v>92</v>
      </c>
      <c r="C103" s="1">
        <f t="shared" si="8"/>
        <v>3.9310060117405285</v>
      </c>
      <c r="D103" s="9">
        <f t="shared" si="9"/>
        <v>-1.0221876439408466</v>
      </c>
      <c r="E103" s="2">
        <f t="shared" si="10"/>
        <v>2.2884401550667213</v>
      </c>
      <c r="F103" s="2">
        <f t="shared" si="11"/>
        <v>-0.11917942270141613</v>
      </c>
    </row>
    <row r="104" spans="2:6" x14ac:dyDescent="0.45">
      <c r="B104" s="1">
        <v>93</v>
      </c>
      <c r="C104" s="1">
        <f t="shared" si="8"/>
        <v>3.8066895244498036</v>
      </c>
      <c r="D104" s="9">
        <f t="shared" si="9"/>
        <v>-0.72082991553160358</v>
      </c>
      <c r="E104" s="2">
        <f t="shared" si="10"/>
        <v>2.4470780946807276</v>
      </c>
      <c r="F104" s="2">
        <f t="shared" si="11"/>
        <v>-8.1045340354356288E-2</v>
      </c>
    </row>
    <row r="105" spans="2:6" x14ac:dyDescent="0.45">
      <c r="B105" s="1">
        <v>94</v>
      </c>
      <c r="C105" s="1">
        <f t="shared" si="8"/>
        <v>3.6563154240236919</v>
      </c>
      <c r="D105" s="9">
        <f t="shared" si="9"/>
        <v>-0.4744714823104399</v>
      </c>
      <c r="E105" s="2">
        <f t="shared" si="10"/>
        <v>2.5885215991979145</v>
      </c>
      <c r="F105" s="2">
        <f t="shared" si="11"/>
        <v>-5.1701999440667223E-2</v>
      </c>
    </row>
    <row r="106" spans="2:6" x14ac:dyDescent="0.45">
      <c r="B106" s="1">
        <v>95</v>
      </c>
      <c r="C106" s="1">
        <f t="shared" si="8"/>
        <v>3.4952090708056676</v>
      </c>
      <c r="D106" s="9">
        <f t="shared" si="9"/>
        <v>-0.28501146120463661</v>
      </c>
      <c r="E106" s="2">
        <f t="shared" si="10"/>
        <v>2.7111300269652543</v>
      </c>
      <c r="F106" s="2">
        <f t="shared" si="11"/>
        <v>-3.0248736457421765E-2</v>
      </c>
    </row>
    <row r="107" spans="2:6" x14ac:dyDescent="0.45">
      <c r="B107" s="1">
        <v>96</v>
      </c>
      <c r="C107" s="1">
        <f t="shared" ref="C107:C111" si="12">($J$10+$L$10)*COS(2*PI()*B107/100)-$J$10*COS(2*PI()*($J$10+$L$10)*B107/($J$10*100))</f>
        <v>3.3385058495355291</v>
      </c>
      <c r="D107" s="9">
        <f t="shared" si="9"/>
        <v>-0.1504316231574051</v>
      </c>
      <c r="E107" s="2">
        <f t="shared" si="10"/>
        <v>2.8134730023011247</v>
      </c>
      <c r="F107" s="2">
        <f t="shared" si="11"/>
        <v>-1.5626100227994377E-2</v>
      </c>
    </row>
    <row r="108" spans="2:6" x14ac:dyDescent="0.45">
      <c r="B108" s="1">
        <v>97</v>
      </c>
      <c r="C108" s="1">
        <f t="shared" si="12"/>
        <v>3.2001803754933436</v>
      </c>
      <c r="D108" s="9">
        <f t="shared" si="9"/>
        <v>-6.49781524142099E-2</v>
      </c>
      <c r="E108" s="2">
        <f t="shared" si="10"/>
        <v>2.8943509873456286</v>
      </c>
      <c r="F108" s="2">
        <f t="shared" si="11"/>
        <v>-6.6380764867712827E-3</v>
      </c>
    </row>
    <row r="109" spans="2:6" x14ac:dyDescent="0.45">
      <c r="B109" s="1">
        <v>98</v>
      </c>
      <c r="C109" s="1">
        <f t="shared" si="12"/>
        <v>3.0921521252140485</v>
      </c>
      <c r="D109" s="9">
        <f t="shared" si="9"/>
        <v>-1.9579260155501821E-2</v>
      </c>
      <c r="E109" s="2">
        <f t="shared" si="10"/>
        <v>2.9528125637575866</v>
      </c>
      <c r="F109" s="2">
        <f t="shared" si="11"/>
        <v>-1.976579963753694E-3</v>
      </c>
    </row>
    <row r="110" spans="2:6" x14ac:dyDescent="0.45">
      <c r="B110" s="1">
        <v>99</v>
      </c>
      <c r="C110" s="1">
        <f t="shared" si="12"/>
        <v>3.0235237525844552</v>
      </c>
      <c r="D110" s="9">
        <f t="shared" si="9"/>
        <v>-2.4721909523987007E-3</v>
      </c>
      <c r="E110" s="2">
        <f t="shared" si="10"/>
        <v>2.9881681581710211</v>
      </c>
      <c r="F110" s="2">
        <f t="shared" si="11"/>
        <v>-2.4780549432251719E-4</v>
      </c>
    </row>
    <row r="111" spans="2:6" ht="18.600000000000001" thickBot="1" x14ac:dyDescent="0.5">
      <c r="B111" s="3">
        <v>100</v>
      </c>
      <c r="C111" s="3">
        <f t="shared" si="12"/>
        <v>3</v>
      </c>
      <c r="D111" s="10">
        <f t="shared" si="9"/>
        <v>0</v>
      </c>
      <c r="E111" s="4">
        <f t="shared" si="10"/>
        <v>3</v>
      </c>
      <c r="F111" s="4">
        <f t="shared" si="11"/>
        <v>0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78F57-5B5C-4AF8-BCCC-EBCFF6AF8528}">
  <dimension ref="B8:G110"/>
  <sheetViews>
    <sheetView topLeftCell="B1" workbookViewId="0">
      <selection activeCell="H11" sqref="H11"/>
    </sheetView>
  </sheetViews>
  <sheetFormatPr defaultRowHeight="18" x14ac:dyDescent="0.45"/>
  <sheetData>
    <row r="8" spans="2:7" ht="18.600000000000001" thickBot="1" x14ac:dyDescent="0.5"/>
    <row r="9" spans="2:7" ht="18.600000000000001" thickBot="1" x14ac:dyDescent="0.5">
      <c r="B9" s="6" t="s">
        <v>4</v>
      </c>
      <c r="C9" s="8" t="s">
        <v>6</v>
      </c>
      <c r="D9" s="7" t="s">
        <v>7</v>
      </c>
      <c r="F9" s="11" t="s">
        <v>15</v>
      </c>
      <c r="G9" s="5">
        <v>3</v>
      </c>
    </row>
    <row r="10" spans="2:7" ht="18.600000000000001" thickBot="1" x14ac:dyDescent="0.5">
      <c r="B10" s="1">
        <v>0</v>
      </c>
      <c r="C10" s="9"/>
      <c r="D10" s="2"/>
      <c r="F10" s="20" t="s">
        <v>16</v>
      </c>
      <c r="G10" s="4">
        <v>2</v>
      </c>
    </row>
    <row r="11" spans="2:7" ht="18.600000000000001" thickBot="1" x14ac:dyDescent="0.5">
      <c r="B11" s="1">
        <v>1</v>
      </c>
      <c r="C11" s="9"/>
      <c r="D11" s="2"/>
      <c r="F11" s="11" t="s">
        <v>17</v>
      </c>
      <c r="G11" s="5">
        <v>1</v>
      </c>
    </row>
    <row r="12" spans="2:7" x14ac:dyDescent="0.45">
      <c r="B12" s="1">
        <v>2</v>
      </c>
      <c r="C12" s="9"/>
      <c r="D12" s="2"/>
    </row>
    <row r="13" spans="2:7" x14ac:dyDescent="0.45">
      <c r="B13" s="1">
        <v>3</v>
      </c>
      <c r="C13" s="9"/>
      <c r="D13" s="2"/>
    </row>
    <row r="14" spans="2:7" x14ac:dyDescent="0.45">
      <c r="B14" s="1">
        <v>4</v>
      </c>
      <c r="C14" s="9"/>
      <c r="D14" s="2"/>
    </row>
    <row r="15" spans="2:7" x14ac:dyDescent="0.45">
      <c r="B15" s="1">
        <v>5</v>
      </c>
      <c r="C15" s="9"/>
      <c r="D15" s="2"/>
    </row>
    <row r="16" spans="2:7" x14ac:dyDescent="0.45">
      <c r="B16" s="1">
        <v>6</v>
      </c>
      <c r="C16" s="9"/>
      <c r="D16" s="2"/>
    </row>
    <row r="17" spans="2:4" x14ac:dyDescent="0.45">
      <c r="B17" s="1">
        <v>7</v>
      </c>
      <c r="C17" s="9"/>
      <c r="D17" s="2"/>
    </row>
    <row r="18" spans="2:4" x14ac:dyDescent="0.45">
      <c r="B18" s="1">
        <v>8</v>
      </c>
      <c r="C18" s="9"/>
      <c r="D18" s="2"/>
    </row>
    <row r="19" spans="2:4" x14ac:dyDescent="0.45">
      <c r="B19" s="1">
        <v>9</v>
      </c>
      <c r="C19" s="9"/>
      <c r="D19" s="2"/>
    </row>
    <row r="20" spans="2:4" x14ac:dyDescent="0.45">
      <c r="B20" s="1">
        <v>10</v>
      </c>
      <c r="C20" s="9"/>
      <c r="D20" s="2"/>
    </row>
    <row r="21" spans="2:4" x14ac:dyDescent="0.45">
      <c r="B21" s="1">
        <v>11</v>
      </c>
      <c r="C21" s="9"/>
      <c r="D21" s="2"/>
    </row>
    <row r="22" spans="2:4" x14ac:dyDescent="0.45">
      <c r="B22" s="1">
        <v>12</v>
      </c>
      <c r="C22" s="9"/>
      <c r="D22" s="2"/>
    </row>
    <row r="23" spans="2:4" x14ac:dyDescent="0.45">
      <c r="B23" s="1">
        <v>13</v>
      </c>
      <c r="C23" s="9"/>
      <c r="D23" s="2"/>
    </row>
    <row r="24" spans="2:4" x14ac:dyDescent="0.45">
      <c r="B24" s="1">
        <v>14</v>
      </c>
      <c r="C24" s="9"/>
      <c r="D24" s="2"/>
    </row>
    <row r="25" spans="2:4" x14ac:dyDescent="0.45">
      <c r="B25" s="1">
        <v>15</v>
      </c>
      <c r="C25" s="9"/>
      <c r="D25" s="2"/>
    </row>
    <row r="26" spans="2:4" x14ac:dyDescent="0.45">
      <c r="B26" s="1">
        <v>16</v>
      </c>
      <c r="C26" s="9"/>
      <c r="D26" s="2"/>
    </row>
    <row r="27" spans="2:4" x14ac:dyDescent="0.45">
      <c r="B27" s="1">
        <v>17</v>
      </c>
      <c r="C27" s="9"/>
      <c r="D27" s="2"/>
    </row>
    <row r="28" spans="2:4" x14ac:dyDescent="0.45">
      <c r="B28" s="1">
        <v>18</v>
      </c>
      <c r="C28" s="9"/>
      <c r="D28" s="2"/>
    </row>
    <row r="29" spans="2:4" x14ac:dyDescent="0.45">
      <c r="B29" s="1">
        <v>19</v>
      </c>
      <c r="C29" s="9"/>
      <c r="D29" s="2"/>
    </row>
    <row r="30" spans="2:4" x14ac:dyDescent="0.45">
      <c r="B30" s="1">
        <v>20</v>
      </c>
      <c r="C30" s="9"/>
      <c r="D30" s="2"/>
    </row>
    <row r="31" spans="2:4" x14ac:dyDescent="0.45">
      <c r="B31" s="1">
        <v>21</v>
      </c>
      <c r="C31" s="9"/>
      <c r="D31" s="2"/>
    </row>
    <row r="32" spans="2:4" x14ac:dyDescent="0.45">
      <c r="B32" s="1">
        <v>22</v>
      </c>
      <c r="C32" s="9"/>
      <c r="D32" s="2"/>
    </row>
    <row r="33" spans="2:4" x14ac:dyDescent="0.45">
      <c r="B33" s="1">
        <v>23</v>
      </c>
      <c r="C33" s="9"/>
      <c r="D33" s="2"/>
    </row>
    <row r="34" spans="2:4" x14ac:dyDescent="0.45">
      <c r="B34" s="1">
        <v>24</v>
      </c>
      <c r="C34" s="9"/>
      <c r="D34" s="2"/>
    </row>
    <row r="35" spans="2:4" x14ac:dyDescent="0.45">
      <c r="B35" s="1">
        <v>25</v>
      </c>
      <c r="C35" s="9"/>
      <c r="D35" s="2"/>
    </row>
    <row r="36" spans="2:4" x14ac:dyDescent="0.45">
      <c r="B36" s="1">
        <v>26</v>
      </c>
      <c r="C36" s="9"/>
      <c r="D36" s="2"/>
    </row>
    <row r="37" spans="2:4" x14ac:dyDescent="0.45">
      <c r="B37" s="1">
        <v>27</v>
      </c>
      <c r="C37" s="9"/>
      <c r="D37" s="2"/>
    </row>
    <row r="38" spans="2:4" x14ac:dyDescent="0.45">
      <c r="B38" s="1">
        <v>28</v>
      </c>
      <c r="C38" s="9"/>
      <c r="D38" s="2"/>
    </row>
    <row r="39" spans="2:4" x14ac:dyDescent="0.45">
      <c r="B39" s="1">
        <v>29</v>
      </c>
      <c r="C39" s="9"/>
      <c r="D39" s="2"/>
    </row>
    <row r="40" spans="2:4" x14ac:dyDescent="0.45">
      <c r="B40" s="1">
        <v>30</v>
      </c>
      <c r="C40" s="9"/>
      <c r="D40" s="2"/>
    </row>
    <row r="41" spans="2:4" x14ac:dyDescent="0.45">
      <c r="B41" s="1">
        <v>31</v>
      </c>
      <c r="C41" s="9"/>
      <c r="D41" s="2"/>
    </row>
    <row r="42" spans="2:4" x14ac:dyDescent="0.45">
      <c r="B42" s="1">
        <v>32</v>
      </c>
      <c r="C42" s="9"/>
      <c r="D42" s="2"/>
    </row>
    <row r="43" spans="2:4" x14ac:dyDescent="0.45">
      <c r="B43" s="1">
        <v>33</v>
      </c>
      <c r="C43" s="9"/>
      <c r="D43" s="2"/>
    </row>
    <row r="44" spans="2:4" x14ac:dyDescent="0.45">
      <c r="B44" s="1">
        <v>34</v>
      </c>
      <c r="C44" s="9"/>
      <c r="D44" s="2"/>
    </row>
    <row r="45" spans="2:4" x14ac:dyDescent="0.45">
      <c r="B45" s="1">
        <v>35</v>
      </c>
      <c r="C45" s="9"/>
      <c r="D45" s="2"/>
    </row>
    <row r="46" spans="2:4" x14ac:dyDescent="0.45">
      <c r="B46" s="1">
        <v>36</v>
      </c>
      <c r="C46" s="9"/>
      <c r="D46" s="2"/>
    </row>
    <row r="47" spans="2:4" x14ac:dyDescent="0.45">
      <c r="B47" s="1">
        <v>37</v>
      </c>
      <c r="C47" s="9"/>
      <c r="D47" s="2"/>
    </row>
    <row r="48" spans="2:4" x14ac:dyDescent="0.45">
      <c r="B48" s="1">
        <v>38</v>
      </c>
      <c r="C48" s="9"/>
      <c r="D48" s="2"/>
    </row>
    <row r="49" spans="2:4" x14ac:dyDescent="0.45">
      <c r="B49" s="1">
        <v>39</v>
      </c>
      <c r="C49" s="9"/>
      <c r="D49" s="2"/>
    </row>
    <row r="50" spans="2:4" x14ac:dyDescent="0.45">
      <c r="B50" s="1">
        <v>40</v>
      </c>
      <c r="C50" s="9"/>
      <c r="D50" s="2"/>
    </row>
    <row r="51" spans="2:4" x14ac:dyDescent="0.45">
      <c r="B51" s="1">
        <v>41</v>
      </c>
      <c r="C51" s="9"/>
      <c r="D51" s="2"/>
    </row>
    <row r="52" spans="2:4" x14ac:dyDescent="0.45">
      <c r="B52" s="1">
        <v>42</v>
      </c>
      <c r="C52" s="9"/>
      <c r="D52" s="2"/>
    </row>
    <row r="53" spans="2:4" x14ac:dyDescent="0.45">
      <c r="B53" s="1">
        <v>43</v>
      </c>
      <c r="C53" s="9"/>
      <c r="D53" s="2"/>
    </row>
    <row r="54" spans="2:4" x14ac:dyDescent="0.45">
      <c r="B54" s="1">
        <v>44</v>
      </c>
      <c r="C54" s="9"/>
      <c r="D54" s="2"/>
    </row>
    <row r="55" spans="2:4" x14ac:dyDescent="0.45">
      <c r="B55" s="1">
        <v>45</v>
      </c>
      <c r="C55" s="9"/>
      <c r="D55" s="2"/>
    </row>
    <row r="56" spans="2:4" x14ac:dyDescent="0.45">
      <c r="B56" s="1">
        <v>46</v>
      </c>
      <c r="C56" s="9"/>
      <c r="D56" s="2"/>
    </row>
    <row r="57" spans="2:4" x14ac:dyDescent="0.45">
      <c r="B57" s="1">
        <v>47</v>
      </c>
      <c r="C57" s="9"/>
      <c r="D57" s="2"/>
    </row>
    <row r="58" spans="2:4" x14ac:dyDescent="0.45">
      <c r="B58" s="1">
        <v>48</v>
      </c>
      <c r="C58" s="9"/>
      <c r="D58" s="2"/>
    </row>
    <row r="59" spans="2:4" x14ac:dyDescent="0.45">
      <c r="B59" s="1">
        <v>49</v>
      </c>
      <c r="C59" s="9"/>
      <c r="D59" s="2"/>
    </row>
    <row r="60" spans="2:4" x14ac:dyDescent="0.45">
      <c r="B60" s="1">
        <v>50</v>
      </c>
      <c r="C60" s="9"/>
      <c r="D60" s="2"/>
    </row>
    <row r="61" spans="2:4" x14ac:dyDescent="0.45">
      <c r="B61" s="1">
        <v>51</v>
      </c>
      <c r="C61" s="9"/>
      <c r="D61" s="2"/>
    </row>
    <row r="62" spans="2:4" x14ac:dyDescent="0.45">
      <c r="B62" s="1">
        <v>52</v>
      </c>
      <c r="C62" s="9"/>
      <c r="D62" s="2"/>
    </row>
    <row r="63" spans="2:4" x14ac:dyDescent="0.45">
      <c r="B63" s="1">
        <v>53</v>
      </c>
      <c r="C63" s="9"/>
      <c r="D63" s="2"/>
    </row>
    <row r="64" spans="2:4" x14ac:dyDescent="0.45">
      <c r="B64" s="1">
        <v>54</v>
      </c>
      <c r="C64" s="9"/>
      <c r="D64" s="2"/>
    </row>
    <row r="65" spans="2:4" x14ac:dyDescent="0.45">
      <c r="B65" s="1">
        <v>55</v>
      </c>
      <c r="C65" s="9"/>
      <c r="D65" s="2"/>
    </row>
    <row r="66" spans="2:4" x14ac:dyDescent="0.45">
      <c r="B66" s="1">
        <v>56</v>
      </c>
      <c r="C66" s="9"/>
      <c r="D66" s="2"/>
    </row>
    <row r="67" spans="2:4" x14ac:dyDescent="0.45">
      <c r="B67" s="1">
        <v>57</v>
      </c>
      <c r="C67" s="9"/>
      <c r="D67" s="2"/>
    </row>
    <row r="68" spans="2:4" x14ac:dyDescent="0.45">
      <c r="B68" s="1">
        <v>58</v>
      </c>
      <c r="C68" s="9"/>
      <c r="D68" s="2"/>
    </row>
    <row r="69" spans="2:4" x14ac:dyDescent="0.45">
      <c r="B69" s="1">
        <v>59</v>
      </c>
      <c r="C69" s="9"/>
      <c r="D69" s="2"/>
    </row>
    <row r="70" spans="2:4" x14ac:dyDescent="0.45">
      <c r="B70" s="1">
        <v>60</v>
      </c>
      <c r="C70" s="9"/>
      <c r="D70" s="2"/>
    </row>
    <row r="71" spans="2:4" x14ac:dyDescent="0.45">
      <c r="B71" s="1">
        <v>61</v>
      </c>
      <c r="C71" s="9"/>
      <c r="D71" s="2"/>
    </row>
    <row r="72" spans="2:4" x14ac:dyDescent="0.45">
      <c r="B72" s="1">
        <v>62</v>
      </c>
      <c r="C72" s="9"/>
      <c r="D72" s="2"/>
    </row>
    <row r="73" spans="2:4" x14ac:dyDescent="0.45">
      <c r="B73" s="1">
        <v>63</v>
      </c>
      <c r="C73" s="9"/>
      <c r="D73" s="2"/>
    </row>
    <row r="74" spans="2:4" x14ac:dyDescent="0.45">
      <c r="B74" s="1">
        <v>64</v>
      </c>
      <c r="C74" s="9"/>
      <c r="D74" s="2"/>
    </row>
    <row r="75" spans="2:4" x14ac:dyDescent="0.45">
      <c r="B75" s="1">
        <v>65</v>
      </c>
      <c r="C75" s="9"/>
      <c r="D75" s="2"/>
    </row>
    <row r="76" spans="2:4" x14ac:dyDescent="0.45">
      <c r="B76" s="1">
        <v>66</v>
      </c>
      <c r="C76" s="9"/>
      <c r="D76" s="2"/>
    </row>
    <row r="77" spans="2:4" x14ac:dyDescent="0.45">
      <c r="B77" s="1">
        <v>67</v>
      </c>
      <c r="C77" s="9"/>
      <c r="D77" s="2"/>
    </row>
    <row r="78" spans="2:4" x14ac:dyDescent="0.45">
      <c r="B78" s="1">
        <v>68</v>
      </c>
      <c r="C78" s="9"/>
      <c r="D78" s="2"/>
    </row>
    <row r="79" spans="2:4" x14ac:dyDescent="0.45">
      <c r="B79" s="1">
        <v>69</v>
      </c>
      <c r="C79" s="9"/>
      <c r="D79" s="2"/>
    </row>
    <row r="80" spans="2:4" x14ac:dyDescent="0.45">
      <c r="B80" s="1">
        <v>70</v>
      </c>
      <c r="C80" s="9"/>
      <c r="D80" s="2"/>
    </row>
    <row r="81" spans="2:4" x14ac:dyDescent="0.45">
      <c r="B81" s="1">
        <v>71</v>
      </c>
      <c r="C81" s="9"/>
      <c r="D81" s="2"/>
    </row>
    <row r="82" spans="2:4" x14ac:dyDescent="0.45">
      <c r="B82" s="1">
        <v>72</v>
      </c>
      <c r="C82" s="9"/>
      <c r="D82" s="2"/>
    </row>
    <row r="83" spans="2:4" x14ac:dyDescent="0.45">
      <c r="B83" s="1">
        <v>73</v>
      </c>
      <c r="C83" s="9"/>
      <c r="D83" s="2"/>
    </row>
    <row r="84" spans="2:4" x14ac:dyDescent="0.45">
      <c r="B84" s="1">
        <v>74</v>
      </c>
      <c r="C84" s="9"/>
      <c r="D84" s="2"/>
    </row>
    <row r="85" spans="2:4" x14ac:dyDescent="0.45">
      <c r="B85" s="1">
        <v>75</v>
      </c>
      <c r="C85" s="9"/>
      <c r="D85" s="2"/>
    </row>
    <row r="86" spans="2:4" x14ac:dyDescent="0.45">
      <c r="B86" s="1">
        <v>76</v>
      </c>
      <c r="C86" s="9"/>
      <c r="D86" s="2"/>
    </row>
    <row r="87" spans="2:4" x14ac:dyDescent="0.45">
      <c r="B87" s="1">
        <v>77</v>
      </c>
      <c r="C87" s="9"/>
      <c r="D87" s="2"/>
    </row>
    <row r="88" spans="2:4" x14ac:dyDescent="0.45">
      <c r="B88" s="1">
        <v>78</v>
      </c>
      <c r="C88" s="9"/>
      <c r="D88" s="2"/>
    </row>
    <row r="89" spans="2:4" x14ac:dyDescent="0.45">
      <c r="B89" s="1">
        <v>79</v>
      </c>
      <c r="C89" s="9"/>
      <c r="D89" s="2"/>
    </row>
    <row r="90" spans="2:4" x14ac:dyDescent="0.45">
      <c r="B90" s="1">
        <v>80</v>
      </c>
      <c r="C90" s="9"/>
      <c r="D90" s="2"/>
    </row>
    <row r="91" spans="2:4" x14ac:dyDescent="0.45">
      <c r="B91" s="1">
        <v>81</v>
      </c>
      <c r="C91" s="9"/>
      <c r="D91" s="2"/>
    </row>
    <row r="92" spans="2:4" x14ac:dyDescent="0.45">
      <c r="B92" s="1">
        <v>82</v>
      </c>
      <c r="C92" s="9"/>
      <c r="D92" s="2"/>
    </row>
    <row r="93" spans="2:4" x14ac:dyDescent="0.45">
      <c r="B93" s="1">
        <v>83</v>
      </c>
      <c r="C93" s="9"/>
      <c r="D93" s="2"/>
    </row>
    <row r="94" spans="2:4" x14ac:dyDescent="0.45">
      <c r="B94" s="1">
        <v>84</v>
      </c>
      <c r="C94" s="9"/>
      <c r="D94" s="2"/>
    </row>
    <row r="95" spans="2:4" x14ac:dyDescent="0.45">
      <c r="B95" s="1">
        <v>85</v>
      </c>
      <c r="C95" s="9"/>
      <c r="D95" s="2"/>
    </row>
    <row r="96" spans="2:4" x14ac:dyDescent="0.45">
      <c r="B96" s="1">
        <v>86</v>
      </c>
      <c r="C96" s="9"/>
      <c r="D96" s="2"/>
    </row>
    <row r="97" spans="2:4" x14ac:dyDescent="0.45">
      <c r="B97" s="1">
        <v>87</v>
      </c>
      <c r="C97" s="9"/>
      <c r="D97" s="2"/>
    </row>
    <row r="98" spans="2:4" x14ac:dyDescent="0.45">
      <c r="B98" s="1">
        <v>88</v>
      </c>
      <c r="C98" s="9"/>
      <c r="D98" s="2"/>
    </row>
    <row r="99" spans="2:4" x14ac:dyDescent="0.45">
      <c r="B99" s="1">
        <v>89</v>
      </c>
      <c r="C99" s="9"/>
      <c r="D99" s="2"/>
    </row>
    <row r="100" spans="2:4" x14ac:dyDescent="0.45">
      <c r="B100" s="1">
        <v>90</v>
      </c>
      <c r="C100" s="9"/>
      <c r="D100" s="2"/>
    </row>
    <row r="101" spans="2:4" x14ac:dyDescent="0.45">
      <c r="B101" s="1">
        <v>91</v>
      </c>
      <c r="C101" s="9"/>
      <c r="D101" s="2"/>
    </row>
    <row r="102" spans="2:4" x14ac:dyDescent="0.45">
      <c r="B102" s="1">
        <v>92</v>
      </c>
      <c r="C102" s="9"/>
      <c r="D102" s="2"/>
    </row>
    <row r="103" spans="2:4" x14ac:dyDescent="0.45">
      <c r="B103" s="1">
        <v>93</v>
      </c>
      <c r="C103" s="9"/>
      <c r="D103" s="2"/>
    </row>
    <row r="104" spans="2:4" x14ac:dyDescent="0.45">
      <c r="B104" s="1">
        <v>94</v>
      </c>
      <c r="C104" s="9"/>
      <c r="D104" s="2"/>
    </row>
    <row r="105" spans="2:4" x14ac:dyDescent="0.45">
      <c r="B105" s="1">
        <v>95</v>
      </c>
      <c r="C105" s="9"/>
      <c r="D105" s="2"/>
    </row>
    <row r="106" spans="2:4" x14ac:dyDescent="0.45">
      <c r="B106" s="1">
        <v>96</v>
      </c>
      <c r="C106" s="9"/>
      <c r="D106" s="2"/>
    </row>
    <row r="107" spans="2:4" x14ac:dyDescent="0.45">
      <c r="B107" s="1">
        <v>97</v>
      </c>
      <c r="C107" s="9"/>
      <c r="D107" s="2"/>
    </row>
    <row r="108" spans="2:4" x14ac:dyDescent="0.45">
      <c r="B108" s="1">
        <v>98</v>
      </c>
      <c r="C108" s="9"/>
      <c r="D108" s="2"/>
    </row>
    <row r="109" spans="2:4" x14ac:dyDescent="0.45">
      <c r="B109" s="1">
        <v>99</v>
      </c>
      <c r="C109" s="9"/>
      <c r="D109" s="2"/>
    </row>
    <row r="110" spans="2:4" ht="18.600000000000001" thickBot="1" x14ac:dyDescent="0.5">
      <c r="B110" s="3">
        <v>100</v>
      </c>
      <c r="C110" s="10"/>
      <c r="D110" s="4"/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255B-65E9-45A5-97C6-642FB34972E1}">
  <sheetPr>
    <tabColor rgb="FFFF0000"/>
  </sheetPr>
  <dimension ref="B8:G110"/>
  <sheetViews>
    <sheetView workbookViewId="0">
      <selection activeCell="B9" sqref="B9"/>
    </sheetView>
  </sheetViews>
  <sheetFormatPr defaultRowHeight="18" x14ac:dyDescent="0.45"/>
  <sheetData>
    <row r="8" spans="2:7" ht="18.600000000000001" thickBot="1" x14ac:dyDescent="0.5"/>
    <row r="9" spans="2:7" ht="18.600000000000001" thickBot="1" x14ac:dyDescent="0.5">
      <c r="B9" s="6" t="s">
        <v>0</v>
      </c>
      <c r="C9" s="8" t="s">
        <v>6</v>
      </c>
      <c r="D9" s="7" t="s">
        <v>7</v>
      </c>
      <c r="F9" s="11" t="s">
        <v>15</v>
      </c>
      <c r="G9" s="5">
        <v>3</v>
      </c>
    </row>
    <row r="10" spans="2:7" ht="18.600000000000001" thickBot="1" x14ac:dyDescent="0.5">
      <c r="B10" s="1">
        <v>0</v>
      </c>
      <c r="C10" s="9">
        <f>COS(2*PI()*B10*$G$9*$G$11/100)</f>
        <v>1</v>
      </c>
      <c r="D10" s="2">
        <f>SIN(2*PI()*B10*$G$10*$G$11/100)</f>
        <v>0</v>
      </c>
      <c r="F10" s="20" t="s">
        <v>16</v>
      </c>
      <c r="G10" s="4">
        <v>2</v>
      </c>
    </row>
    <row r="11" spans="2:7" ht="18.600000000000001" thickBot="1" x14ac:dyDescent="0.5">
      <c r="B11" s="1">
        <v>1</v>
      </c>
      <c r="C11" s="9">
        <f t="shared" ref="C11:C74" si="0">COS(2*PI()*B11*$G$9*$G$11/100)</f>
        <v>0.98228725072868872</v>
      </c>
      <c r="D11" s="2">
        <f t="shared" ref="D11:D74" si="1">SIN(2*PI()*B11*$G$10*$G$11/100)</f>
        <v>0.12533323356430426</v>
      </c>
      <c r="F11" s="11" t="s">
        <v>17</v>
      </c>
      <c r="G11" s="5">
        <v>1</v>
      </c>
    </row>
    <row r="12" spans="2:7" x14ac:dyDescent="0.45">
      <c r="B12" s="1">
        <v>2</v>
      </c>
      <c r="C12" s="9">
        <f t="shared" si="0"/>
        <v>0.92977648588825146</v>
      </c>
      <c r="D12" s="2">
        <f t="shared" si="1"/>
        <v>0.24868988716485479</v>
      </c>
    </row>
    <row r="13" spans="2:7" x14ac:dyDescent="0.45">
      <c r="B13" s="1">
        <v>3</v>
      </c>
      <c r="C13" s="9">
        <f t="shared" si="0"/>
        <v>0.84432792550201508</v>
      </c>
      <c r="D13" s="2">
        <f t="shared" si="1"/>
        <v>0.36812455268467792</v>
      </c>
    </row>
    <row r="14" spans="2:7" x14ac:dyDescent="0.45">
      <c r="B14" s="1">
        <v>4</v>
      </c>
      <c r="C14" s="9">
        <f t="shared" si="0"/>
        <v>0.72896862742141155</v>
      </c>
      <c r="D14" s="2">
        <f t="shared" si="1"/>
        <v>0.48175367410171532</v>
      </c>
    </row>
    <row r="15" spans="2:7" x14ac:dyDescent="0.45">
      <c r="B15" s="1">
        <v>5</v>
      </c>
      <c r="C15" s="9">
        <f t="shared" si="0"/>
        <v>0.58778525229247325</v>
      </c>
      <c r="D15" s="2">
        <f t="shared" si="1"/>
        <v>0.58778525229247314</v>
      </c>
    </row>
    <row r="16" spans="2:7" x14ac:dyDescent="0.45">
      <c r="B16" s="1">
        <v>6</v>
      </c>
      <c r="C16" s="9">
        <f t="shared" si="0"/>
        <v>0.42577929156507266</v>
      </c>
      <c r="D16" s="2">
        <f t="shared" si="1"/>
        <v>0.68454710592868862</v>
      </c>
    </row>
    <row r="17" spans="2:4" x14ac:dyDescent="0.45">
      <c r="B17" s="1">
        <v>7</v>
      </c>
      <c r="C17" s="9">
        <f t="shared" si="0"/>
        <v>0.24868988716485474</v>
      </c>
      <c r="D17" s="2">
        <f t="shared" si="1"/>
        <v>0.77051324277578925</v>
      </c>
    </row>
    <row r="18" spans="2:4" x14ac:dyDescent="0.45">
      <c r="B18" s="1">
        <v>8</v>
      </c>
      <c r="C18" s="9">
        <f t="shared" si="0"/>
        <v>6.2790519529313527E-2</v>
      </c>
      <c r="D18" s="2">
        <f t="shared" si="1"/>
        <v>0.84432792550201508</v>
      </c>
    </row>
    <row r="19" spans="2:4" x14ac:dyDescent="0.45">
      <c r="B19" s="1">
        <v>9</v>
      </c>
      <c r="C19" s="9">
        <f t="shared" si="0"/>
        <v>-0.12533323356430415</v>
      </c>
      <c r="D19" s="2">
        <f t="shared" si="1"/>
        <v>0.90482705246601958</v>
      </c>
    </row>
    <row r="20" spans="2:4" x14ac:dyDescent="0.45">
      <c r="B20" s="1">
        <v>10</v>
      </c>
      <c r="C20" s="9">
        <f t="shared" si="0"/>
        <v>-0.30901699437494712</v>
      </c>
      <c r="D20" s="2">
        <f t="shared" si="1"/>
        <v>0.95105651629515353</v>
      </c>
    </row>
    <row r="21" spans="2:4" x14ac:dyDescent="0.45">
      <c r="B21" s="1">
        <v>11</v>
      </c>
      <c r="C21" s="9">
        <f t="shared" si="0"/>
        <v>-0.48175367410171505</v>
      </c>
      <c r="D21" s="2">
        <f t="shared" si="1"/>
        <v>0.98228725072868861</v>
      </c>
    </row>
    <row r="22" spans="2:4" x14ac:dyDescent="0.45">
      <c r="B22" s="1">
        <v>12</v>
      </c>
      <c r="C22" s="9">
        <f t="shared" si="0"/>
        <v>-0.63742398974868975</v>
      </c>
      <c r="D22" s="2">
        <f t="shared" si="1"/>
        <v>0.99802672842827156</v>
      </c>
    </row>
    <row r="23" spans="2:4" x14ac:dyDescent="0.45">
      <c r="B23" s="1">
        <v>13</v>
      </c>
      <c r="C23" s="9">
        <f t="shared" si="0"/>
        <v>-0.77051324277578936</v>
      </c>
      <c r="D23" s="2">
        <f t="shared" si="1"/>
        <v>0.99802672842827156</v>
      </c>
    </row>
    <row r="24" spans="2:4" x14ac:dyDescent="0.45">
      <c r="B24" s="1">
        <v>14</v>
      </c>
      <c r="C24" s="9">
        <f t="shared" si="0"/>
        <v>-0.87630668004386358</v>
      </c>
      <c r="D24" s="2">
        <f t="shared" si="1"/>
        <v>0.98228725072868872</v>
      </c>
    </row>
    <row r="25" spans="2:4" x14ac:dyDescent="0.45">
      <c r="B25" s="1">
        <v>15</v>
      </c>
      <c r="C25" s="9">
        <f t="shared" si="0"/>
        <v>-0.95105651629515342</v>
      </c>
      <c r="D25" s="2">
        <f t="shared" si="1"/>
        <v>0.95105651629515364</v>
      </c>
    </row>
    <row r="26" spans="2:4" x14ac:dyDescent="0.45">
      <c r="B26" s="1">
        <v>16</v>
      </c>
      <c r="C26" s="9">
        <f t="shared" si="0"/>
        <v>-0.99211470131447776</v>
      </c>
      <c r="D26" s="2">
        <f t="shared" si="1"/>
        <v>0.90482705246601947</v>
      </c>
    </row>
    <row r="27" spans="2:4" x14ac:dyDescent="0.45">
      <c r="B27" s="1">
        <v>17</v>
      </c>
      <c r="C27" s="9">
        <f t="shared" si="0"/>
        <v>-0.99802672842827156</v>
      </c>
      <c r="D27" s="2">
        <f t="shared" si="1"/>
        <v>0.84432792550201496</v>
      </c>
    </row>
    <row r="28" spans="2:4" x14ac:dyDescent="0.45">
      <c r="B28" s="1">
        <v>18</v>
      </c>
      <c r="C28" s="9">
        <f t="shared" si="0"/>
        <v>-0.96858316112863119</v>
      </c>
      <c r="D28" s="2">
        <f t="shared" si="1"/>
        <v>0.77051324277578925</v>
      </c>
    </row>
    <row r="29" spans="2:4" x14ac:dyDescent="0.45">
      <c r="B29" s="1">
        <v>19</v>
      </c>
      <c r="C29" s="9">
        <f t="shared" si="0"/>
        <v>-0.90482705246601969</v>
      </c>
      <c r="D29" s="2">
        <f t="shared" si="1"/>
        <v>0.68454710592868884</v>
      </c>
    </row>
    <row r="30" spans="2:4" x14ac:dyDescent="0.45">
      <c r="B30" s="1">
        <v>20</v>
      </c>
      <c r="C30" s="9">
        <f t="shared" si="0"/>
        <v>-0.80901699437494778</v>
      </c>
      <c r="D30" s="2">
        <f t="shared" si="1"/>
        <v>0.58778525229247325</v>
      </c>
    </row>
    <row r="31" spans="2:4" x14ac:dyDescent="0.45">
      <c r="B31" s="1">
        <v>21</v>
      </c>
      <c r="C31" s="9">
        <f t="shared" si="0"/>
        <v>-0.68454710592868862</v>
      </c>
      <c r="D31" s="2">
        <f t="shared" si="1"/>
        <v>0.48175367410171521</v>
      </c>
    </row>
    <row r="32" spans="2:4" x14ac:dyDescent="0.45">
      <c r="B32" s="1">
        <v>22</v>
      </c>
      <c r="C32" s="9">
        <f t="shared" si="0"/>
        <v>-0.5358267949789971</v>
      </c>
      <c r="D32" s="2">
        <f t="shared" si="1"/>
        <v>0.36812455268467814</v>
      </c>
    </row>
    <row r="33" spans="2:4" x14ac:dyDescent="0.45">
      <c r="B33" s="1">
        <v>23</v>
      </c>
      <c r="C33" s="9">
        <f t="shared" si="0"/>
        <v>-0.36812455268467781</v>
      </c>
      <c r="D33" s="2">
        <f t="shared" si="1"/>
        <v>0.24868988716485524</v>
      </c>
    </row>
    <row r="34" spans="2:4" x14ac:dyDescent="0.45">
      <c r="B34" s="1">
        <v>24</v>
      </c>
      <c r="C34" s="9">
        <f t="shared" si="0"/>
        <v>-0.18738131458572463</v>
      </c>
      <c r="D34" s="2">
        <f t="shared" si="1"/>
        <v>0.12533323356430454</v>
      </c>
    </row>
    <row r="35" spans="2:4" x14ac:dyDescent="0.45">
      <c r="B35" s="1">
        <v>25</v>
      </c>
      <c r="C35" s="9">
        <f t="shared" si="0"/>
        <v>-1.83772268236293E-16</v>
      </c>
      <c r="D35" s="2">
        <f t="shared" si="1"/>
        <v>1.22514845490862E-16</v>
      </c>
    </row>
    <row r="36" spans="2:4" x14ac:dyDescent="0.45">
      <c r="B36" s="1">
        <v>26</v>
      </c>
      <c r="C36" s="9">
        <f t="shared" si="0"/>
        <v>0.18738131458572513</v>
      </c>
      <c r="D36" s="2">
        <f t="shared" si="1"/>
        <v>-0.12533323356430429</v>
      </c>
    </row>
    <row r="37" spans="2:4" x14ac:dyDescent="0.45">
      <c r="B37" s="1">
        <v>27</v>
      </c>
      <c r="C37" s="9">
        <f t="shared" si="0"/>
        <v>0.36812455268467742</v>
      </c>
      <c r="D37" s="2">
        <f t="shared" si="1"/>
        <v>-0.24868988716485457</v>
      </c>
    </row>
    <row r="38" spans="2:4" x14ac:dyDescent="0.45">
      <c r="B38" s="1">
        <v>28</v>
      </c>
      <c r="C38" s="9">
        <f t="shared" si="0"/>
        <v>0.53582679497899677</v>
      </c>
      <c r="D38" s="2">
        <f t="shared" si="1"/>
        <v>-0.36812455268467792</v>
      </c>
    </row>
    <row r="39" spans="2:4" x14ac:dyDescent="0.45">
      <c r="B39" s="1">
        <v>29</v>
      </c>
      <c r="C39" s="9">
        <f t="shared" si="0"/>
        <v>0.68454710592868795</v>
      </c>
      <c r="D39" s="2">
        <f t="shared" si="1"/>
        <v>-0.48175367410171538</v>
      </c>
    </row>
    <row r="40" spans="2:4" x14ac:dyDescent="0.45">
      <c r="B40" s="1">
        <v>30</v>
      </c>
      <c r="C40" s="9">
        <f t="shared" si="0"/>
        <v>0.80901699437494679</v>
      </c>
      <c r="D40" s="2">
        <f t="shared" si="1"/>
        <v>-0.58778525229247269</v>
      </c>
    </row>
    <row r="41" spans="2:4" x14ac:dyDescent="0.45">
      <c r="B41" s="1">
        <v>31</v>
      </c>
      <c r="C41" s="9">
        <f t="shared" si="0"/>
        <v>0.90482705246601935</v>
      </c>
      <c r="D41" s="2">
        <f t="shared" si="1"/>
        <v>-0.68454710592868839</v>
      </c>
    </row>
    <row r="42" spans="2:4" x14ac:dyDescent="0.45">
      <c r="B42" s="1">
        <v>32</v>
      </c>
      <c r="C42" s="9">
        <f t="shared" si="0"/>
        <v>0.96858316112863097</v>
      </c>
      <c r="D42" s="2">
        <f t="shared" si="1"/>
        <v>-0.77051324277578936</v>
      </c>
    </row>
    <row r="43" spans="2:4" x14ac:dyDescent="0.45">
      <c r="B43" s="1">
        <v>33</v>
      </c>
      <c r="C43" s="9">
        <f t="shared" si="0"/>
        <v>0.99802672842827156</v>
      </c>
      <c r="D43" s="2">
        <f t="shared" si="1"/>
        <v>-0.8443279255020153</v>
      </c>
    </row>
    <row r="44" spans="2:4" x14ac:dyDescent="0.45">
      <c r="B44" s="1">
        <v>34</v>
      </c>
      <c r="C44" s="9">
        <f t="shared" si="0"/>
        <v>0.99211470131447776</v>
      </c>
      <c r="D44" s="2">
        <f t="shared" si="1"/>
        <v>-0.9048270524660198</v>
      </c>
    </row>
    <row r="45" spans="2:4" x14ac:dyDescent="0.45">
      <c r="B45" s="1">
        <v>35</v>
      </c>
      <c r="C45" s="9">
        <f t="shared" si="0"/>
        <v>0.95105651629515364</v>
      </c>
      <c r="D45" s="2">
        <f t="shared" si="1"/>
        <v>-0.95105651629515353</v>
      </c>
    </row>
    <row r="46" spans="2:4" x14ac:dyDescent="0.45">
      <c r="B46" s="1">
        <v>36</v>
      </c>
      <c r="C46" s="9">
        <f t="shared" si="0"/>
        <v>0.87630668004386381</v>
      </c>
      <c r="D46" s="2">
        <f t="shared" si="1"/>
        <v>-0.98228725072868872</v>
      </c>
    </row>
    <row r="47" spans="2:4" x14ac:dyDescent="0.45">
      <c r="B47" s="1">
        <v>37</v>
      </c>
      <c r="C47" s="9">
        <f t="shared" si="0"/>
        <v>0.77051324277578903</v>
      </c>
      <c r="D47" s="2">
        <f t="shared" si="1"/>
        <v>-0.99802672842827156</v>
      </c>
    </row>
    <row r="48" spans="2:4" x14ac:dyDescent="0.45">
      <c r="B48" s="1">
        <v>38</v>
      </c>
      <c r="C48" s="9">
        <f t="shared" si="0"/>
        <v>0.6374239897486903</v>
      </c>
      <c r="D48" s="2">
        <f t="shared" si="1"/>
        <v>-0.99802672842827156</v>
      </c>
    </row>
    <row r="49" spans="2:4" x14ac:dyDescent="0.45">
      <c r="B49" s="1">
        <v>39</v>
      </c>
      <c r="C49" s="9">
        <f t="shared" si="0"/>
        <v>0.48175367410171538</v>
      </c>
      <c r="D49" s="2">
        <f t="shared" si="1"/>
        <v>-0.98228725072868872</v>
      </c>
    </row>
    <row r="50" spans="2:4" x14ac:dyDescent="0.45">
      <c r="B50" s="1">
        <v>40</v>
      </c>
      <c r="C50" s="9">
        <f t="shared" si="0"/>
        <v>0.30901699437494856</v>
      </c>
      <c r="D50" s="2">
        <f t="shared" si="1"/>
        <v>-0.95105651629515364</v>
      </c>
    </row>
    <row r="51" spans="2:4" x14ac:dyDescent="0.45">
      <c r="B51" s="1">
        <v>41</v>
      </c>
      <c r="C51" s="9">
        <f t="shared" si="0"/>
        <v>0.12533323356430559</v>
      </c>
      <c r="D51" s="2">
        <f t="shared" si="1"/>
        <v>-0.90482705246601991</v>
      </c>
    </row>
    <row r="52" spans="2:4" x14ac:dyDescent="0.45">
      <c r="B52" s="1">
        <v>42</v>
      </c>
      <c r="C52" s="9">
        <f t="shared" si="0"/>
        <v>-6.2790519529313596E-2</v>
      </c>
      <c r="D52" s="2">
        <f t="shared" si="1"/>
        <v>-0.84432792550201496</v>
      </c>
    </row>
    <row r="53" spans="2:4" x14ac:dyDescent="0.45">
      <c r="B53" s="1">
        <v>43</v>
      </c>
      <c r="C53" s="9">
        <f t="shared" si="0"/>
        <v>-0.24868988716485482</v>
      </c>
      <c r="D53" s="2">
        <f t="shared" si="1"/>
        <v>-0.77051324277578959</v>
      </c>
    </row>
    <row r="54" spans="2:4" x14ac:dyDescent="0.45">
      <c r="B54" s="1">
        <v>44</v>
      </c>
      <c r="C54" s="9">
        <f t="shared" si="0"/>
        <v>-0.42577929156507172</v>
      </c>
      <c r="D54" s="2">
        <f t="shared" si="1"/>
        <v>-0.68454710592868895</v>
      </c>
    </row>
    <row r="55" spans="2:4" x14ac:dyDescent="0.45">
      <c r="B55" s="1">
        <v>45</v>
      </c>
      <c r="C55" s="9">
        <f t="shared" si="0"/>
        <v>-0.58778525229247292</v>
      </c>
      <c r="D55" s="2">
        <f t="shared" si="1"/>
        <v>-0.58778525229247336</v>
      </c>
    </row>
    <row r="56" spans="2:4" x14ac:dyDescent="0.45">
      <c r="B56" s="1">
        <v>46</v>
      </c>
      <c r="C56" s="9">
        <f t="shared" si="0"/>
        <v>-0.72896862742141177</v>
      </c>
      <c r="D56" s="2">
        <f t="shared" si="1"/>
        <v>-0.4817536741017161</v>
      </c>
    </row>
    <row r="57" spans="2:4" x14ac:dyDescent="0.45">
      <c r="B57" s="1">
        <v>47</v>
      </c>
      <c r="C57" s="9">
        <f t="shared" si="0"/>
        <v>-0.84432792550201563</v>
      </c>
      <c r="D57" s="2">
        <f t="shared" si="1"/>
        <v>-0.36812455268467786</v>
      </c>
    </row>
    <row r="58" spans="2:4" x14ac:dyDescent="0.45">
      <c r="B58" s="1">
        <v>48</v>
      </c>
      <c r="C58" s="9">
        <f t="shared" si="0"/>
        <v>-0.92977648588825146</v>
      </c>
      <c r="D58" s="2">
        <f t="shared" si="1"/>
        <v>-0.24868988716485535</v>
      </c>
    </row>
    <row r="59" spans="2:4" x14ac:dyDescent="0.45">
      <c r="B59" s="1">
        <v>49</v>
      </c>
      <c r="C59" s="9">
        <f t="shared" si="0"/>
        <v>-0.9822872507286885</v>
      </c>
      <c r="D59" s="2">
        <f t="shared" si="1"/>
        <v>-0.12533323356430465</v>
      </c>
    </row>
    <row r="60" spans="2:4" x14ac:dyDescent="0.45">
      <c r="B60" s="1">
        <v>50</v>
      </c>
      <c r="C60" s="9">
        <f t="shared" si="0"/>
        <v>-1</v>
      </c>
      <c r="D60" s="2">
        <f t="shared" si="1"/>
        <v>-2.45029690981724E-16</v>
      </c>
    </row>
    <row r="61" spans="2:4" x14ac:dyDescent="0.45">
      <c r="B61" s="1">
        <v>51</v>
      </c>
      <c r="C61" s="9">
        <f t="shared" si="0"/>
        <v>-0.98228725072868894</v>
      </c>
      <c r="D61" s="2">
        <f t="shared" si="1"/>
        <v>0.12533323356430418</v>
      </c>
    </row>
    <row r="62" spans="2:4" x14ac:dyDescent="0.45">
      <c r="B62" s="1">
        <v>52</v>
      </c>
      <c r="C62" s="9">
        <f t="shared" si="0"/>
        <v>-0.92977648588825101</v>
      </c>
      <c r="D62" s="2">
        <f t="shared" si="1"/>
        <v>0.24868988716485488</v>
      </c>
    </row>
    <row r="63" spans="2:4" x14ac:dyDescent="0.45">
      <c r="B63" s="1">
        <v>53</v>
      </c>
      <c r="C63" s="9">
        <f t="shared" si="0"/>
        <v>-0.84432792550201508</v>
      </c>
      <c r="D63" s="2">
        <f t="shared" si="1"/>
        <v>0.3681245526846782</v>
      </c>
    </row>
    <row r="64" spans="2:4" x14ac:dyDescent="0.45">
      <c r="B64" s="1">
        <v>54</v>
      </c>
      <c r="C64" s="9">
        <f t="shared" si="0"/>
        <v>-0.72896862742141233</v>
      </c>
      <c r="D64" s="2">
        <f t="shared" si="1"/>
        <v>0.48175367410171488</v>
      </c>
    </row>
    <row r="65" spans="2:4" x14ac:dyDescent="0.45">
      <c r="B65" s="1">
        <v>55</v>
      </c>
      <c r="C65" s="9">
        <f t="shared" si="0"/>
        <v>-0.58778525229247203</v>
      </c>
      <c r="D65" s="2">
        <f t="shared" si="1"/>
        <v>0.58778525229247292</v>
      </c>
    </row>
    <row r="66" spans="2:4" x14ac:dyDescent="0.45">
      <c r="B66" s="1">
        <v>56</v>
      </c>
      <c r="C66" s="9">
        <f t="shared" si="0"/>
        <v>-0.42577929156507238</v>
      </c>
      <c r="D66" s="2">
        <f t="shared" si="1"/>
        <v>0.68454710592868862</v>
      </c>
    </row>
    <row r="67" spans="2:4" x14ac:dyDescent="0.45">
      <c r="B67" s="1">
        <v>57</v>
      </c>
      <c r="C67" s="9">
        <f t="shared" si="0"/>
        <v>-0.24868988716485554</v>
      </c>
      <c r="D67" s="2">
        <f t="shared" si="1"/>
        <v>0.7705132427757887</v>
      </c>
    </row>
    <row r="68" spans="2:4" x14ac:dyDescent="0.45">
      <c r="B68" s="1">
        <v>58</v>
      </c>
      <c r="C68" s="9">
        <f t="shared" si="0"/>
        <v>-6.279051952931522E-2</v>
      </c>
      <c r="D68" s="2">
        <f t="shared" si="1"/>
        <v>0.84432792550201519</v>
      </c>
    </row>
    <row r="69" spans="2:4" x14ac:dyDescent="0.45">
      <c r="B69" s="1">
        <v>59</v>
      </c>
      <c r="C69" s="9">
        <f t="shared" si="0"/>
        <v>0.12533323356430487</v>
      </c>
      <c r="D69" s="2">
        <f t="shared" si="1"/>
        <v>0.90482705246601935</v>
      </c>
    </row>
    <row r="70" spans="2:4" x14ac:dyDescent="0.45">
      <c r="B70" s="1">
        <v>60</v>
      </c>
      <c r="C70" s="9">
        <f t="shared" si="0"/>
        <v>0.30901699437494534</v>
      </c>
      <c r="D70" s="2">
        <f t="shared" si="1"/>
        <v>0.9510565162951532</v>
      </c>
    </row>
    <row r="71" spans="2:4" x14ac:dyDescent="0.45">
      <c r="B71" s="1">
        <v>61</v>
      </c>
      <c r="C71" s="9">
        <f t="shared" si="0"/>
        <v>0.48175367410171394</v>
      </c>
      <c r="D71" s="2">
        <f t="shared" si="1"/>
        <v>0.98228725072868861</v>
      </c>
    </row>
    <row r="72" spans="2:4" x14ac:dyDescent="0.45">
      <c r="B72" s="1">
        <v>62</v>
      </c>
      <c r="C72" s="9">
        <f t="shared" si="0"/>
        <v>0.63742398974868908</v>
      </c>
      <c r="D72" s="2">
        <f t="shared" si="1"/>
        <v>0.99802672842827156</v>
      </c>
    </row>
    <row r="73" spans="2:4" x14ac:dyDescent="0.45">
      <c r="B73" s="1">
        <v>63</v>
      </c>
      <c r="C73" s="9">
        <f t="shared" si="0"/>
        <v>0.77051324277578914</v>
      </c>
      <c r="D73" s="2">
        <f t="shared" si="1"/>
        <v>0.99802672842827156</v>
      </c>
    </row>
    <row r="74" spans="2:4" x14ac:dyDescent="0.45">
      <c r="B74" s="1">
        <v>64</v>
      </c>
      <c r="C74" s="9">
        <f t="shared" si="0"/>
        <v>0.87630668004386303</v>
      </c>
      <c r="D74" s="2">
        <f t="shared" si="1"/>
        <v>0.98228725072868861</v>
      </c>
    </row>
    <row r="75" spans="2:4" x14ac:dyDescent="0.45">
      <c r="B75" s="1">
        <v>65</v>
      </c>
      <c r="C75" s="9">
        <f t="shared" ref="C75:C110" si="2">COS(2*PI()*B75*$G$9*$G$11/100)</f>
        <v>0.95105651629515342</v>
      </c>
      <c r="D75" s="2">
        <f t="shared" ref="D75:D110" si="3">SIN(2*PI()*B75*$G$10*$G$11/100)</f>
        <v>0.95105651629515364</v>
      </c>
    </row>
    <row r="76" spans="2:4" x14ac:dyDescent="0.45">
      <c r="B76" s="1">
        <v>66</v>
      </c>
      <c r="C76" s="9">
        <f t="shared" si="2"/>
        <v>0.99211470131447788</v>
      </c>
      <c r="D76" s="2">
        <f t="shared" si="3"/>
        <v>0.90482705246601924</v>
      </c>
    </row>
    <row r="77" spans="2:4" x14ac:dyDescent="0.45">
      <c r="B77" s="1">
        <v>67</v>
      </c>
      <c r="C77" s="9">
        <f t="shared" si="2"/>
        <v>0.99802672842827167</v>
      </c>
      <c r="D77" s="2">
        <f t="shared" si="3"/>
        <v>0.84432792550201508</v>
      </c>
    </row>
    <row r="78" spans="2:4" x14ac:dyDescent="0.45">
      <c r="B78" s="1">
        <v>68</v>
      </c>
      <c r="C78" s="9">
        <f t="shared" si="2"/>
        <v>0.96858316112863074</v>
      </c>
      <c r="D78" s="2">
        <f t="shared" si="3"/>
        <v>0.77051324277578859</v>
      </c>
    </row>
    <row r="79" spans="2:4" x14ac:dyDescent="0.45">
      <c r="B79" s="1">
        <v>69</v>
      </c>
      <c r="C79" s="9">
        <f t="shared" si="2"/>
        <v>0.90482705246602002</v>
      </c>
      <c r="D79" s="2">
        <f t="shared" si="3"/>
        <v>0.68454710592868839</v>
      </c>
    </row>
    <row r="80" spans="2:4" x14ac:dyDescent="0.45">
      <c r="B80" s="1">
        <v>70</v>
      </c>
      <c r="C80" s="9">
        <f t="shared" si="2"/>
        <v>0.80901699437494767</v>
      </c>
      <c r="D80" s="2">
        <f t="shared" si="3"/>
        <v>0.58778525229247336</v>
      </c>
    </row>
    <row r="81" spans="2:4" x14ac:dyDescent="0.45">
      <c r="B81" s="1">
        <v>71</v>
      </c>
      <c r="C81" s="9">
        <f t="shared" si="2"/>
        <v>0.6845471059286885</v>
      </c>
      <c r="D81" s="2">
        <f t="shared" si="3"/>
        <v>0.48175367410171466</v>
      </c>
    </row>
    <row r="82" spans="2:4" x14ac:dyDescent="0.45">
      <c r="B82" s="1">
        <v>72</v>
      </c>
      <c r="C82" s="9">
        <f t="shared" si="2"/>
        <v>0.53582679497899732</v>
      </c>
      <c r="D82" s="2">
        <f t="shared" si="3"/>
        <v>0.36812455268467797</v>
      </c>
    </row>
    <row r="83" spans="2:4" x14ac:dyDescent="0.45">
      <c r="B83" s="1">
        <v>73</v>
      </c>
      <c r="C83" s="9">
        <f t="shared" si="2"/>
        <v>0.36812455268467981</v>
      </c>
      <c r="D83" s="2">
        <f t="shared" si="3"/>
        <v>0.24868988716485549</v>
      </c>
    </row>
    <row r="84" spans="2:4" x14ac:dyDescent="0.45">
      <c r="B84" s="1">
        <v>74</v>
      </c>
      <c r="C84" s="9">
        <f t="shared" si="2"/>
        <v>0.18738131458572413</v>
      </c>
      <c r="D84" s="2">
        <f t="shared" si="3"/>
        <v>0.1253332335643039</v>
      </c>
    </row>
    <row r="85" spans="2:4" x14ac:dyDescent="0.45">
      <c r="B85" s="1">
        <v>75</v>
      </c>
      <c r="C85" s="9">
        <f t="shared" si="2"/>
        <v>5.51316804708879E-16</v>
      </c>
      <c r="D85" s="2">
        <f t="shared" si="3"/>
        <v>3.67544536472586E-16</v>
      </c>
    </row>
    <row r="86" spans="2:4" x14ac:dyDescent="0.45">
      <c r="B86" s="1">
        <v>76</v>
      </c>
      <c r="C86" s="9">
        <f t="shared" si="2"/>
        <v>-0.18738131458572305</v>
      </c>
      <c r="D86" s="2">
        <f t="shared" si="3"/>
        <v>-0.12533323356430318</v>
      </c>
    </row>
    <row r="87" spans="2:4" x14ac:dyDescent="0.45">
      <c r="B87" s="1">
        <v>77</v>
      </c>
      <c r="C87" s="9">
        <f t="shared" si="2"/>
        <v>-0.36812455268467875</v>
      </c>
      <c r="D87" s="2">
        <f t="shared" si="3"/>
        <v>-0.24868988716485477</v>
      </c>
    </row>
    <row r="88" spans="2:4" x14ac:dyDescent="0.45">
      <c r="B88" s="1">
        <v>78</v>
      </c>
      <c r="C88" s="9">
        <f t="shared" si="2"/>
        <v>-0.53582679497899643</v>
      </c>
      <c r="D88" s="2">
        <f t="shared" si="3"/>
        <v>-0.36812455268467725</v>
      </c>
    </row>
    <row r="89" spans="2:4" x14ac:dyDescent="0.45">
      <c r="B89" s="1">
        <v>79</v>
      </c>
      <c r="C89" s="9">
        <f t="shared" si="2"/>
        <v>-0.68454710592868906</v>
      </c>
      <c r="D89" s="2">
        <f t="shared" si="3"/>
        <v>-0.48175367410171555</v>
      </c>
    </row>
    <row r="90" spans="2:4" x14ac:dyDescent="0.45">
      <c r="B90" s="1">
        <v>80</v>
      </c>
      <c r="C90" s="9">
        <f t="shared" si="2"/>
        <v>-0.80901699437494601</v>
      </c>
      <c r="D90" s="2">
        <f t="shared" si="3"/>
        <v>-0.5877852522924728</v>
      </c>
    </row>
    <row r="91" spans="2:4" x14ac:dyDescent="0.45">
      <c r="B91" s="1">
        <v>81</v>
      </c>
      <c r="C91" s="9">
        <f t="shared" si="2"/>
        <v>-0.90482705246601958</v>
      </c>
      <c r="D91" s="2">
        <f t="shared" si="3"/>
        <v>-0.68454710592868784</v>
      </c>
    </row>
    <row r="92" spans="2:4" x14ac:dyDescent="0.45">
      <c r="B92" s="1">
        <v>82</v>
      </c>
      <c r="C92" s="9">
        <f t="shared" si="2"/>
        <v>-0.96858316112863041</v>
      </c>
      <c r="D92" s="2">
        <f t="shared" si="3"/>
        <v>-0.77051324277578803</v>
      </c>
    </row>
    <row r="93" spans="2:4" x14ac:dyDescent="0.45">
      <c r="B93" s="1">
        <v>83</v>
      </c>
      <c r="C93" s="9">
        <f t="shared" si="2"/>
        <v>-0.99802672842827167</v>
      </c>
      <c r="D93" s="2">
        <f t="shared" si="3"/>
        <v>-0.84432792550201563</v>
      </c>
    </row>
    <row r="94" spans="2:4" x14ac:dyDescent="0.45">
      <c r="B94" s="1">
        <v>84</v>
      </c>
      <c r="C94" s="9">
        <f t="shared" si="2"/>
        <v>-0.99211470131447776</v>
      </c>
      <c r="D94" s="2">
        <f t="shared" si="3"/>
        <v>-0.90482705246601969</v>
      </c>
    </row>
    <row r="95" spans="2:4" x14ac:dyDescent="0.45">
      <c r="B95" s="1">
        <v>85</v>
      </c>
      <c r="C95" s="9">
        <f t="shared" si="2"/>
        <v>-0.9510565162951532</v>
      </c>
      <c r="D95" s="2">
        <f t="shared" si="3"/>
        <v>-0.95105651629515342</v>
      </c>
    </row>
    <row r="96" spans="2:4" x14ac:dyDescent="0.45">
      <c r="B96" s="1">
        <v>86</v>
      </c>
      <c r="C96" s="9">
        <f t="shared" si="2"/>
        <v>-0.87630668004386358</v>
      </c>
      <c r="D96" s="2">
        <f t="shared" si="3"/>
        <v>-0.9822872507286885</v>
      </c>
    </row>
    <row r="97" spans="2:4" x14ac:dyDescent="0.45">
      <c r="B97" s="1">
        <v>87</v>
      </c>
      <c r="C97" s="9">
        <f t="shared" si="2"/>
        <v>-0.77051324277578992</v>
      </c>
      <c r="D97" s="2">
        <f t="shared" si="3"/>
        <v>-0.99802672842827145</v>
      </c>
    </row>
    <row r="98" spans="2:4" x14ac:dyDescent="0.45">
      <c r="B98" s="1">
        <v>88</v>
      </c>
      <c r="C98" s="9">
        <f t="shared" si="2"/>
        <v>-0.6374239897486913</v>
      </c>
      <c r="D98" s="2">
        <f t="shared" si="3"/>
        <v>-0.99802672842827156</v>
      </c>
    </row>
    <row r="99" spans="2:4" x14ac:dyDescent="0.45">
      <c r="B99" s="1">
        <v>89</v>
      </c>
      <c r="C99" s="9">
        <f t="shared" si="2"/>
        <v>-0.48175367410171493</v>
      </c>
      <c r="D99" s="2">
        <f t="shared" si="3"/>
        <v>-0.98228725072868861</v>
      </c>
    </row>
    <row r="100" spans="2:4" x14ac:dyDescent="0.45">
      <c r="B100" s="1">
        <v>90</v>
      </c>
      <c r="C100" s="9">
        <f t="shared" si="2"/>
        <v>-0.30901699437494806</v>
      </c>
      <c r="D100" s="2">
        <f t="shared" si="3"/>
        <v>-0.95105651629515375</v>
      </c>
    </row>
    <row r="101" spans="2:4" x14ac:dyDescent="0.45">
      <c r="B101" s="1">
        <v>91</v>
      </c>
      <c r="C101" s="9">
        <f t="shared" si="2"/>
        <v>-0.12533323356430598</v>
      </c>
      <c r="D101" s="2">
        <f t="shared" si="3"/>
        <v>-0.90482705246602002</v>
      </c>
    </row>
    <row r="102" spans="2:4" x14ac:dyDescent="0.45">
      <c r="B102" s="1">
        <v>92</v>
      </c>
      <c r="C102" s="9">
        <f t="shared" si="2"/>
        <v>6.2790519529314123E-2</v>
      </c>
      <c r="D102" s="2">
        <f t="shared" si="3"/>
        <v>-0.84432792550201607</v>
      </c>
    </row>
    <row r="103" spans="2:4" x14ac:dyDescent="0.45">
      <c r="B103" s="1">
        <v>93</v>
      </c>
      <c r="C103" s="9">
        <f t="shared" si="2"/>
        <v>0.24868988716485102</v>
      </c>
      <c r="D103" s="2">
        <f t="shared" si="3"/>
        <v>-0.7705132427757897</v>
      </c>
    </row>
    <row r="104" spans="2:4" x14ac:dyDescent="0.45">
      <c r="B104" s="1">
        <v>94</v>
      </c>
      <c r="C104" s="9">
        <f t="shared" si="2"/>
        <v>0.4257792915650746</v>
      </c>
      <c r="D104" s="2">
        <f t="shared" si="3"/>
        <v>-0.6845471059286885</v>
      </c>
    </row>
    <row r="105" spans="2:4" x14ac:dyDescent="0.45">
      <c r="B105" s="1">
        <v>95</v>
      </c>
      <c r="C105" s="9">
        <f t="shared" si="2"/>
        <v>0.58778525229247403</v>
      </c>
      <c r="D105" s="2">
        <f t="shared" si="3"/>
        <v>-0.58778525229247347</v>
      </c>
    </row>
    <row r="106" spans="2:4" x14ac:dyDescent="0.45">
      <c r="B106" s="1">
        <v>96</v>
      </c>
      <c r="C106" s="9">
        <f t="shared" si="2"/>
        <v>0.72896862742141155</v>
      </c>
      <c r="D106" s="2">
        <f t="shared" si="3"/>
        <v>-0.48175367410171632</v>
      </c>
    </row>
    <row r="107" spans="2:4" x14ac:dyDescent="0.45">
      <c r="B107" s="1">
        <v>97</v>
      </c>
      <c r="C107" s="9">
        <f t="shared" si="2"/>
        <v>0.84432792550201452</v>
      </c>
      <c r="D107" s="2">
        <f t="shared" si="3"/>
        <v>-0.36812455268467809</v>
      </c>
    </row>
    <row r="108" spans="2:4" x14ac:dyDescent="0.45">
      <c r="B108" s="1">
        <v>98</v>
      </c>
      <c r="C108" s="9">
        <f t="shared" si="2"/>
        <v>0.92977648588825057</v>
      </c>
      <c r="D108" s="2">
        <f t="shared" si="3"/>
        <v>-0.2486898871648556</v>
      </c>
    </row>
    <row r="109" spans="2:4" x14ac:dyDescent="0.45">
      <c r="B109" s="1">
        <v>99</v>
      </c>
      <c r="C109" s="9">
        <f t="shared" si="2"/>
        <v>0.98228725072868872</v>
      </c>
      <c r="D109" s="2">
        <f t="shared" si="3"/>
        <v>-0.12533323356430401</v>
      </c>
    </row>
    <row r="110" spans="2:4" ht="18.600000000000001" thickBot="1" x14ac:dyDescent="0.5">
      <c r="B110" s="3">
        <v>100</v>
      </c>
      <c r="C110" s="9">
        <f t="shared" si="2"/>
        <v>1</v>
      </c>
      <c r="D110" s="2">
        <f t="shared" si="3"/>
        <v>-4.90059381963448E-16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38E9-DC4E-40F0-A2FD-7C2558E69198}">
  <dimension ref="B8:L514"/>
  <sheetViews>
    <sheetView workbookViewId="0">
      <selection activeCell="B9" sqref="B9"/>
    </sheetView>
  </sheetViews>
  <sheetFormatPr defaultRowHeight="18" x14ac:dyDescent="0.45"/>
  <sheetData>
    <row r="8" spans="2:12" ht="18.600000000000001" thickBot="1" x14ac:dyDescent="0.5"/>
    <row r="9" spans="2:12" ht="18.600000000000001" thickBot="1" x14ac:dyDescent="0.5">
      <c r="B9" s="6" t="s">
        <v>0</v>
      </c>
      <c r="C9" s="8" t="s">
        <v>10</v>
      </c>
      <c r="D9" s="8" t="s">
        <v>11</v>
      </c>
      <c r="F9" s="17" t="s">
        <v>25</v>
      </c>
      <c r="G9" s="11" t="s">
        <v>26</v>
      </c>
      <c r="H9" s="21" t="s">
        <v>27</v>
      </c>
      <c r="I9" s="11" t="s">
        <v>28</v>
      </c>
      <c r="J9" s="26" t="s">
        <v>29</v>
      </c>
      <c r="K9" s="26"/>
      <c r="L9" s="11" t="s">
        <v>30</v>
      </c>
    </row>
    <row r="10" spans="2:12" ht="18.600000000000001" thickBot="1" x14ac:dyDescent="0.5">
      <c r="B10" s="16">
        <v>0</v>
      </c>
      <c r="C10" s="9">
        <f>($F$11-$G$11)*COS(2*PI()*$J$11*$I$11*B10/$L$11)+($G$11/$H$11)*COS((($F$11-$G$11)/$G$11)*2*PI()*$I$11*B10/$L$11)</f>
        <v>1</v>
      </c>
      <c r="D10" s="9">
        <f>($F$11-$G$11)*SIN(2*PI()*$K$11*$I$11*B10/$L$11)-($G$11/$H$11)*SIN((($F$11-$G$11)/$G$11)*2*PI()*$I$11*B10/$L$11)</f>
        <v>0</v>
      </c>
      <c r="F10" s="17" t="s">
        <v>18</v>
      </c>
      <c r="G10" s="11" t="s">
        <v>19</v>
      </c>
      <c r="H10" s="21" t="s">
        <v>20</v>
      </c>
      <c r="I10" s="11" t="s">
        <v>21</v>
      </c>
      <c r="J10" s="21" t="s">
        <v>22</v>
      </c>
      <c r="K10" s="11" t="s">
        <v>23</v>
      </c>
      <c r="L10" s="11" t="s">
        <v>24</v>
      </c>
    </row>
    <row r="11" spans="2:12" ht="18.600000000000001" thickBot="1" x14ac:dyDescent="0.5">
      <c r="B11" s="1">
        <v>1</v>
      </c>
      <c r="C11" s="9">
        <f>($F$11-$G$11)*COS(2*PI()*$J$11*$I$11*B11/$L$11)+($G$11/$H$11)*COS((($F$11-$G$11)/$G$11)*2*PI()*$I$11*B11/$L$11)</f>
        <v>1</v>
      </c>
      <c r="D11" s="9">
        <f>($F$11-$G$11)*SIN(2*PI()*$K$11*$I$11*B11/$L$11)-($G$11/$H$11)*SIN((($F$11-$G$11)/$G$11)*2*PI()*$I$11*B11/$L$11)</f>
        <v>0</v>
      </c>
      <c r="F11" s="3">
        <v>1</v>
      </c>
      <c r="G11" s="10">
        <v>1</v>
      </c>
      <c r="H11" s="14">
        <v>1</v>
      </c>
      <c r="I11" s="10">
        <v>1</v>
      </c>
      <c r="J11" s="14">
        <v>1</v>
      </c>
      <c r="K11" s="10">
        <v>1</v>
      </c>
      <c r="L11" s="25">
        <v>100</v>
      </c>
    </row>
    <row r="12" spans="2:12" x14ac:dyDescent="0.45">
      <c r="B12" s="1">
        <v>2</v>
      </c>
      <c r="C12" s="9">
        <f>($F$11-$G$11)*COS(2*PI()*$J$11*$I$11*B12/$L$11)+($G$11/$H$11)*COS((($F$11-$G$11)/$G$11)*2*PI()*$I$11*B12/$L$11)</f>
        <v>1</v>
      </c>
      <c r="D12" s="9">
        <f>($F$11-$G$11)*SIN(2*PI()*$K$11*$I$11*B12/$L$11)-($G$11/$H$11)*SIN((($F$11-$G$11)/$G$11)*2*PI()*$I$11*B12/$L$11)</f>
        <v>0</v>
      </c>
    </row>
    <row r="13" spans="2:12" x14ac:dyDescent="0.45">
      <c r="B13" s="1">
        <v>3</v>
      </c>
      <c r="C13" s="9">
        <f>($F$11-$G$11)*COS(2*PI()*$J$11*$I$11*B13/$L$11)+($G$11/$H$11)*COS((($F$11-$G$11)/$G$11)*2*PI()*$I$11*B13/$L$11)</f>
        <v>1</v>
      </c>
      <c r="D13" s="9">
        <f>($F$11-$G$11)*SIN(2*PI()*$K$11*$I$11*B13/$L$11)-($G$11/$H$11)*SIN((($F$11-$G$11)/$G$11)*2*PI()*$I$11*B13/$L$11)</f>
        <v>0</v>
      </c>
    </row>
    <row r="14" spans="2:12" x14ac:dyDescent="0.45">
      <c r="B14" s="1">
        <v>4</v>
      </c>
      <c r="C14" s="9">
        <f>($F$11-$G$11)*COS(2*PI()*$J$11*$I$11*B14/$L$11)+($G$11/$H$11)*COS((($F$11-$G$11)/$G$11)*2*PI()*$I$11*B14/$L$11)</f>
        <v>1</v>
      </c>
      <c r="D14" s="9">
        <f>($F$11-$G$11)*SIN(2*PI()*$K$11*$I$11*B14/$L$11)-($G$11/$H$11)*SIN((($F$11-$G$11)/$G$11)*2*PI()*$I$11*B14/$L$11)</f>
        <v>0</v>
      </c>
    </row>
    <row r="15" spans="2:12" x14ac:dyDescent="0.45">
      <c r="B15" s="1">
        <v>5</v>
      </c>
      <c r="C15" s="9">
        <f>($F$11-$G$11)*COS(2*PI()*$J$11*$I$11*B15/$L$11)+($G$11/$H$11)*COS((($F$11-$G$11)/$G$11)*2*PI()*$I$11*B15/$L$11)</f>
        <v>1</v>
      </c>
      <c r="D15" s="9">
        <f>($F$11-$G$11)*SIN(2*PI()*$K$11*$I$11*B15/$L$11)-($G$11/$H$11)*SIN((($F$11-$G$11)/$G$11)*2*PI()*$I$11*B15/$L$11)</f>
        <v>0</v>
      </c>
    </row>
    <row r="16" spans="2:12" x14ac:dyDescent="0.45">
      <c r="B16" s="1">
        <v>6</v>
      </c>
      <c r="C16" s="9">
        <f>($F$11-$G$11)*COS(2*PI()*$J$11*$I$11*B16/$L$11)+($G$11/$H$11)*COS((($F$11-$G$11)/$G$11)*2*PI()*$I$11*B16/$L$11)</f>
        <v>1</v>
      </c>
      <c r="D16" s="9">
        <f>($F$11-$G$11)*SIN(2*PI()*$K$11*$I$11*B16/$L$11)-($G$11/$H$11)*SIN((($F$11-$G$11)/$G$11)*2*PI()*$I$11*B16/$L$11)</f>
        <v>0</v>
      </c>
    </row>
    <row r="17" spans="2:4" x14ac:dyDescent="0.45">
      <c r="B17" s="1">
        <v>7</v>
      </c>
      <c r="C17" s="9">
        <f>($F$11-$G$11)*COS(2*PI()*$J$11*$I$11*B17/$L$11)+($G$11/$H$11)*COS((($F$11-$G$11)/$G$11)*2*PI()*$I$11*B17/$L$11)</f>
        <v>1</v>
      </c>
      <c r="D17" s="9">
        <f>($F$11-$G$11)*SIN(2*PI()*$K$11*$I$11*B17/$L$11)-($G$11/$H$11)*SIN((($F$11-$G$11)/$G$11)*2*PI()*$I$11*B17/$L$11)</f>
        <v>0</v>
      </c>
    </row>
    <row r="18" spans="2:4" x14ac:dyDescent="0.45">
      <c r="B18" s="1">
        <v>8</v>
      </c>
      <c r="C18" s="9">
        <f>($F$11-$G$11)*COS(2*PI()*$J$11*$I$11*B18/$L$11)+($G$11/$H$11)*COS((($F$11-$G$11)/$G$11)*2*PI()*$I$11*B18/$L$11)</f>
        <v>1</v>
      </c>
      <c r="D18" s="9">
        <f>($F$11-$G$11)*SIN(2*PI()*$K$11*$I$11*B18/$L$11)-($G$11/$H$11)*SIN((($F$11-$G$11)/$G$11)*2*PI()*$I$11*B18/$L$11)</f>
        <v>0</v>
      </c>
    </row>
    <row r="19" spans="2:4" x14ac:dyDescent="0.45">
      <c r="B19" s="1">
        <v>9</v>
      </c>
      <c r="C19" s="9">
        <f>($F$11-$G$11)*COS(2*PI()*$J$11*$I$11*B19/$L$11)+($G$11/$H$11)*COS((($F$11-$G$11)/$G$11)*2*PI()*$I$11*B19/$L$11)</f>
        <v>1</v>
      </c>
      <c r="D19" s="9">
        <f>($F$11-$G$11)*SIN(2*PI()*$K$11*$I$11*B19/$L$11)-($G$11/$H$11)*SIN((($F$11-$G$11)/$G$11)*2*PI()*$I$11*B19/$L$11)</f>
        <v>0</v>
      </c>
    </row>
    <row r="20" spans="2:4" x14ac:dyDescent="0.45">
      <c r="B20" s="1">
        <v>10</v>
      </c>
      <c r="C20" s="9">
        <f>($F$11-$G$11)*COS(2*PI()*$J$11*$I$11*B20/$L$11)+($G$11/$H$11)*COS((($F$11-$G$11)/$G$11)*2*PI()*$I$11*B20/$L$11)</f>
        <v>1</v>
      </c>
      <c r="D20" s="9">
        <f>($F$11-$G$11)*SIN(2*PI()*$K$11*$I$11*B20/$L$11)-($G$11/$H$11)*SIN((($F$11-$G$11)/$G$11)*2*PI()*$I$11*B20/$L$11)</f>
        <v>0</v>
      </c>
    </row>
    <row r="21" spans="2:4" x14ac:dyDescent="0.45">
      <c r="B21" s="1">
        <v>11</v>
      </c>
      <c r="C21" s="9">
        <f>($F$11-$G$11)*COS(2*PI()*$J$11*$I$11*B21/$L$11)+($G$11/$H$11)*COS((($F$11-$G$11)/$G$11)*2*PI()*$I$11*B21/$L$11)</f>
        <v>1</v>
      </c>
      <c r="D21" s="9">
        <f>($F$11-$G$11)*SIN(2*PI()*$K$11*$I$11*B21/$L$11)-($G$11/$H$11)*SIN((($F$11-$G$11)/$G$11)*2*PI()*$I$11*B21/$L$11)</f>
        <v>0</v>
      </c>
    </row>
    <row r="22" spans="2:4" x14ac:dyDescent="0.45">
      <c r="B22" s="1">
        <v>12</v>
      </c>
      <c r="C22" s="9">
        <f>($F$11-$G$11)*COS(2*PI()*$J$11*$I$11*B22/$L$11)+($G$11/$H$11)*COS((($F$11-$G$11)/$G$11)*2*PI()*$I$11*B22/$L$11)</f>
        <v>1</v>
      </c>
      <c r="D22" s="9">
        <f>($F$11-$G$11)*SIN(2*PI()*$K$11*$I$11*B22/$L$11)-($G$11/$H$11)*SIN((($F$11-$G$11)/$G$11)*2*PI()*$I$11*B22/$L$11)</f>
        <v>0</v>
      </c>
    </row>
    <row r="23" spans="2:4" x14ac:dyDescent="0.45">
      <c r="B23" s="1">
        <v>13</v>
      </c>
      <c r="C23" s="9">
        <f>($F$11-$G$11)*COS(2*PI()*$J$11*$I$11*B23/$L$11)+($G$11/$H$11)*COS((($F$11-$G$11)/$G$11)*2*PI()*$I$11*B23/$L$11)</f>
        <v>1</v>
      </c>
      <c r="D23" s="9">
        <f>($F$11-$G$11)*SIN(2*PI()*$K$11*$I$11*B23/$L$11)-($G$11/$H$11)*SIN((($F$11-$G$11)/$G$11)*2*PI()*$I$11*B23/$L$11)</f>
        <v>0</v>
      </c>
    </row>
    <row r="24" spans="2:4" x14ac:dyDescent="0.45">
      <c r="B24" s="1">
        <v>14</v>
      </c>
      <c r="C24" s="9">
        <f>($F$11-$G$11)*COS(2*PI()*$J$11*$I$11*B24/$L$11)+($G$11/$H$11)*COS((($F$11-$G$11)/$G$11)*2*PI()*$I$11*B24/$L$11)</f>
        <v>1</v>
      </c>
      <c r="D24" s="9">
        <f>($F$11-$G$11)*SIN(2*PI()*$K$11*$I$11*B24/$L$11)-($G$11/$H$11)*SIN((($F$11-$G$11)/$G$11)*2*PI()*$I$11*B24/$L$11)</f>
        <v>0</v>
      </c>
    </row>
    <row r="25" spans="2:4" x14ac:dyDescent="0.45">
      <c r="B25" s="1">
        <v>15</v>
      </c>
      <c r="C25" s="9">
        <f>($F$11-$G$11)*COS(2*PI()*$J$11*$I$11*B25/$L$11)+($G$11/$H$11)*COS((($F$11-$G$11)/$G$11)*2*PI()*$I$11*B25/$L$11)</f>
        <v>1</v>
      </c>
      <c r="D25" s="9">
        <f>($F$11-$G$11)*SIN(2*PI()*$K$11*$I$11*B25/$L$11)-($G$11/$H$11)*SIN((($F$11-$G$11)/$G$11)*2*PI()*$I$11*B25/$L$11)</f>
        <v>0</v>
      </c>
    </row>
    <row r="26" spans="2:4" x14ac:dyDescent="0.45">
      <c r="B26" s="1">
        <v>16</v>
      </c>
      <c r="C26" s="9">
        <f>($F$11-$G$11)*COS(2*PI()*$J$11*$I$11*B26/$L$11)+($G$11/$H$11)*COS((($F$11-$G$11)/$G$11)*2*PI()*$I$11*B26/$L$11)</f>
        <v>1</v>
      </c>
      <c r="D26" s="9">
        <f>($F$11-$G$11)*SIN(2*PI()*$K$11*$I$11*B26/$L$11)-($G$11/$H$11)*SIN((($F$11-$G$11)/$G$11)*2*PI()*$I$11*B26/$L$11)</f>
        <v>0</v>
      </c>
    </row>
    <row r="27" spans="2:4" x14ac:dyDescent="0.45">
      <c r="B27" s="1">
        <v>17</v>
      </c>
      <c r="C27" s="9">
        <f>($F$11-$G$11)*COS(2*PI()*$J$11*$I$11*B27/$L$11)+($G$11/$H$11)*COS((($F$11-$G$11)/$G$11)*2*PI()*$I$11*B27/$L$11)</f>
        <v>1</v>
      </c>
      <c r="D27" s="9">
        <f>($F$11-$G$11)*SIN(2*PI()*$K$11*$I$11*B27/$L$11)-($G$11/$H$11)*SIN((($F$11-$G$11)/$G$11)*2*PI()*$I$11*B27/$L$11)</f>
        <v>0</v>
      </c>
    </row>
    <row r="28" spans="2:4" x14ac:dyDescent="0.45">
      <c r="B28" s="1">
        <v>18</v>
      </c>
      <c r="C28" s="9">
        <f>($F$11-$G$11)*COS(2*PI()*$J$11*$I$11*B28/$L$11)+($G$11/$H$11)*COS((($F$11-$G$11)/$G$11)*2*PI()*$I$11*B28/$L$11)</f>
        <v>1</v>
      </c>
      <c r="D28" s="9">
        <f>($F$11-$G$11)*SIN(2*PI()*$K$11*$I$11*B28/$L$11)-($G$11/$H$11)*SIN((($F$11-$G$11)/$G$11)*2*PI()*$I$11*B28/$L$11)</f>
        <v>0</v>
      </c>
    </row>
    <row r="29" spans="2:4" x14ac:dyDescent="0.45">
      <c r="B29" s="1">
        <v>19</v>
      </c>
      <c r="C29" s="9">
        <f>($F$11-$G$11)*COS(2*PI()*$J$11*$I$11*B29/$L$11)+($G$11/$H$11)*COS((($F$11-$G$11)/$G$11)*2*PI()*$I$11*B29/$L$11)</f>
        <v>1</v>
      </c>
      <c r="D29" s="9">
        <f>($F$11-$G$11)*SIN(2*PI()*$K$11*$I$11*B29/$L$11)-($G$11/$H$11)*SIN((($F$11-$G$11)/$G$11)*2*PI()*$I$11*B29/$L$11)</f>
        <v>0</v>
      </c>
    </row>
    <row r="30" spans="2:4" x14ac:dyDescent="0.45">
      <c r="B30" s="1">
        <v>20</v>
      </c>
      <c r="C30" s="9">
        <f>($F$11-$G$11)*COS(2*PI()*$J$11*$I$11*B30/$L$11)+($G$11/$H$11)*COS((($F$11-$G$11)/$G$11)*2*PI()*$I$11*B30/$L$11)</f>
        <v>1</v>
      </c>
      <c r="D30" s="9">
        <f>($F$11-$G$11)*SIN(2*PI()*$K$11*$I$11*B30/$L$11)-($G$11/$H$11)*SIN((($F$11-$G$11)/$G$11)*2*PI()*$I$11*B30/$L$11)</f>
        <v>0</v>
      </c>
    </row>
    <row r="31" spans="2:4" x14ac:dyDescent="0.45">
      <c r="B31" s="1">
        <v>21</v>
      </c>
      <c r="C31" s="9">
        <f>($F$11-$G$11)*COS(2*PI()*$J$11*$I$11*B31/$L$11)+($G$11/$H$11)*COS((($F$11-$G$11)/$G$11)*2*PI()*$I$11*B31/$L$11)</f>
        <v>1</v>
      </c>
      <c r="D31" s="9">
        <f>($F$11-$G$11)*SIN(2*PI()*$K$11*$I$11*B31/$L$11)-($G$11/$H$11)*SIN((($F$11-$G$11)/$G$11)*2*PI()*$I$11*B31/$L$11)</f>
        <v>0</v>
      </c>
    </row>
    <row r="32" spans="2:4" x14ac:dyDescent="0.45">
      <c r="B32" s="1">
        <v>22</v>
      </c>
      <c r="C32" s="9">
        <f>($F$11-$G$11)*COS(2*PI()*$J$11*$I$11*B32/$L$11)+($G$11/$H$11)*COS((($F$11-$G$11)/$G$11)*2*PI()*$I$11*B32/$L$11)</f>
        <v>1</v>
      </c>
      <c r="D32" s="9">
        <f>($F$11-$G$11)*SIN(2*PI()*$K$11*$I$11*B32/$L$11)-($G$11/$H$11)*SIN((($F$11-$G$11)/$G$11)*2*PI()*$I$11*B32/$L$11)</f>
        <v>0</v>
      </c>
    </row>
    <row r="33" spans="2:4" x14ac:dyDescent="0.45">
      <c r="B33" s="1">
        <v>23</v>
      </c>
      <c r="C33" s="9">
        <f>($F$11-$G$11)*COS(2*PI()*$J$11*$I$11*B33/$L$11)+($G$11/$H$11)*COS((($F$11-$G$11)/$G$11)*2*PI()*$I$11*B33/$L$11)</f>
        <v>1</v>
      </c>
      <c r="D33" s="9">
        <f>($F$11-$G$11)*SIN(2*PI()*$K$11*$I$11*B33/$L$11)-($G$11/$H$11)*SIN((($F$11-$G$11)/$G$11)*2*PI()*$I$11*B33/$L$11)</f>
        <v>0</v>
      </c>
    </row>
    <row r="34" spans="2:4" x14ac:dyDescent="0.45">
      <c r="B34" s="1">
        <v>24</v>
      </c>
      <c r="C34" s="9">
        <f>($F$11-$G$11)*COS(2*PI()*$J$11*$I$11*B34/$L$11)+($G$11/$H$11)*COS((($F$11-$G$11)/$G$11)*2*PI()*$I$11*B34/$L$11)</f>
        <v>1</v>
      </c>
      <c r="D34" s="9">
        <f>($F$11-$G$11)*SIN(2*PI()*$K$11*$I$11*B34/$L$11)-($G$11/$H$11)*SIN((($F$11-$G$11)/$G$11)*2*PI()*$I$11*B34/$L$11)</f>
        <v>0</v>
      </c>
    </row>
    <row r="35" spans="2:4" x14ac:dyDescent="0.45">
      <c r="B35" s="1">
        <v>25</v>
      </c>
      <c r="C35" s="9">
        <f>($F$11-$G$11)*COS(2*PI()*$J$11*$I$11*B35/$L$11)+($G$11/$H$11)*COS((($F$11-$G$11)/$G$11)*2*PI()*$I$11*B35/$L$11)</f>
        <v>1</v>
      </c>
      <c r="D35" s="9">
        <f>($F$11-$G$11)*SIN(2*PI()*$K$11*$I$11*B35/$L$11)-($G$11/$H$11)*SIN((($F$11-$G$11)/$G$11)*2*PI()*$I$11*B35/$L$11)</f>
        <v>0</v>
      </c>
    </row>
    <row r="36" spans="2:4" x14ac:dyDescent="0.45">
      <c r="B36" s="1">
        <v>26</v>
      </c>
      <c r="C36" s="9">
        <f>($F$11-$G$11)*COS(2*PI()*$J$11*$I$11*B36/$L$11)+($G$11/$H$11)*COS((($F$11-$G$11)/$G$11)*2*PI()*$I$11*B36/$L$11)</f>
        <v>1</v>
      </c>
      <c r="D36" s="9">
        <f>($F$11-$G$11)*SIN(2*PI()*$K$11*$I$11*B36/$L$11)-($G$11/$H$11)*SIN((($F$11-$G$11)/$G$11)*2*PI()*$I$11*B36/$L$11)</f>
        <v>0</v>
      </c>
    </row>
    <row r="37" spans="2:4" x14ac:dyDescent="0.45">
      <c r="B37" s="1">
        <v>27</v>
      </c>
      <c r="C37" s="9">
        <f>($F$11-$G$11)*COS(2*PI()*$J$11*$I$11*B37/$L$11)+($G$11/$H$11)*COS((($F$11-$G$11)/$G$11)*2*PI()*$I$11*B37/$L$11)</f>
        <v>1</v>
      </c>
      <c r="D37" s="9">
        <f>($F$11-$G$11)*SIN(2*PI()*$K$11*$I$11*B37/$L$11)-($G$11/$H$11)*SIN((($F$11-$G$11)/$G$11)*2*PI()*$I$11*B37/$L$11)</f>
        <v>0</v>
      </c>
    </row>
    <row r="38" spans="2:4" x14ac:dyDescent="0.45">
      <c r="B38" s="1">
        <v>28</v>
      </c>
      <c r="C38" s="9">
        <f>($F$11-$G$11)*COS(2*PI()*$J$11*$I$11*B38/$L$11)+($G$11/$H$11)*COS((($F$11-$G$11)/$G$11)*2*PI()*$I$11*B38/$L$11)</f>
        <v>1</v>
      </c>
      <c r="D38" s="9">
        <f>($F$11-$G$11)*SIN(2*PI()*$K$11*$I$11*B38/$L$11)-($G$11/$H$11)*SIN((($F$11-$G$11)/$G$11)*2*PI()*$I$11*B38/$L$11)</f>
        <v>0</v>
      </c>
    </row>
    <row r="39" spans="2:4" x14ac:dyDescent="0.45">
      <c r="B39" s="1">
        <v>29</v>
      </c>
      <c r="C39" s="9">
        <f>($F$11-$G$11)*COS(2*PI()*$J$11*$I$11*B39/$L$11)+($G$11/$H$11)*COS((($F$11-$G$11)/$G$11)*2*PI()*$I$11*B39/$L$11)</f>
        <v>1</v>
      </c>
      <c r="D39" s="9">
        <f>($F$11-$G$11)*SIN(2*PI()*$K$11*$I$11*B39/$L$11)-($G$11/$H$11)*SIN((($F$11-$G$11)/$G$11)*2*PI()*$I$11*B39/$L$11)</f>
        <v>0</v>
      </c>
    </row>
    <row r="40" spans="2:4" x14ac:dyDescent="0.45">
      <c r="B40" s="1">
        <v>30</v>
      </c>
      <c r="C40" s="9">
        <f>($F$11-$G$11)*COS(2*PI()*$J$11*$I$11*B40/$L$11)+($G$11/$H$11)*COS((($F$11-$G$11)/$G$11)*2*PI()*$I$11*B40/$L$11)</f>
        <v>1</v>
      </c>
      <c r="D40" s="9">
        <f>($F$11-$G$11)*SIN(2*PI()*$K$11*$I$11*B40/$L$11)-($G$11/$H$11)*SIN((($F$11-$G$11)/$G$11)*2*PI()*$I$11*B40/$L$11)</f>
        <v>0</v>
      </c>
    </row>
    <row r="41" spans="2:4" x14ac:dyDescent="0.45">
      <c r="B41" s="1">
        <v>31</v>
      </c>
      <c r="C41" s="9">
        <f>($F$11-$G$11)*COS(2*PI()*$J$11*$I$11*B41/$L$11)+($G$11/$H$11)*COS((($F$11-$G$11)/$G$11)*2*PI()*$I$11*B41/$L$11)</f>
        <v>1</v>
      </c>
      <c r="D41" s="9">
        <f>($F$11-$G$11)*SIN(2*PI()*$K$11*$I$11*B41/$L$11)-($G$11/$H$11)*SIN((($F$11-$G$11)/$G$11)*2*PI()*$I$11*B41/$L$11)</f>
        <v>0</v>
      </c>
    </row>
    <row r="42" spans="2:4" x14ac:dyDescent="0.45">
      <c r="B42" s="1">
        <v>32</v>
      </c>
      <c r="C42" s="9">
        <f>($F$11-$G$11)*COS(2*PI()*$J$11*$I$11*B42/$L$11)+($G$11/$H$11)*COS((($F$11-$G$11)/$G$11)*2*PI()*$I$11*B42/$L$11)</f>
        <v>1</v>
      </c>
      <c r="D42" s="9">
        <f>($F$11-$G$11)*SIN(2*PI()*$K$11*$I$11*B42/$L$11)-($G$11/$H$11)*SIN((($F$11-$G$11)/$G$11)*2*PI()*$I$11*B42/$L$11)</f>
        <v>0</v>
      </c>
    </row>
    <row r="43" spans="2:4" x14ac:dyDescent="0.45">
      <c r="B43" s="1">
        <v>33</v>
      </c>
      <c r="C43" s="9">
        <f>($F$11-$G$11)*COS(2*PI()*$J$11*$I$11*B43/$L$11)+($G$11/$H$11)*COS((($F$11-$G$11)/$G$11)*2*PI()*$I$11*B43/$L$11)</f>
        <v>1</v>
      </c>
      <c r="D43" s="9">
        <f>($F$11-$G$11)*SIN(2*PI()*$K$11*$I$11*B43/$L$11)-($G$11/$H$11)*SIN((($F$11-$G$11)/$G$11)*2*PI()*$I$11*B43/$L$11)</f>
        <v>0</v>
      </c>
    </row>
    <row r="44" spans="2:4" x14ac:dyDescent="0.45">
      <c r="B44" s="1">
        <v>34</v>
      </c>
      <c r="C44" s="9">
        <f>($F$11-$G$11)*COS(2*PI()*$J$11*$I$11*B44/$L$11)+($G$11/$H$11)*COS((($F$11-$G$11)/$G$11)*2*PI()*$I$11*B44/$L$11)</f>
        <v>1</v>
      </c>
      <c r="D44" s="9">
        <f>($F$11-$G$11)*SIN(2*PI()*$K$11*$I$11*B44/$L$11)-($G$11/$H$11)*SIN((($F$11-$G$11)/$G$11)*2*PI()*$I$11*B44/$L$11)</f>
        <v>0</v>
      </c>
    </row>
    <row r="45" spans="2:4" x14ac:dyDescent="0.45">
      <c r="B45" s="1">
        <v>35</v>
      </c>
      <c r="C45" s="9">
        <f>($F$11-$G$11)*COS(2*PI()*$J$11*$I$11*B45/$L$11)+($G$11/$H$11)*COS((($F$11-$G$11)/$G$11)*2*PI()*$I$11*B45/$L$11)</f>
        <v>1</v>
      </c>
      <c r="D45" s="9">
        <f>($F$11-$G$11)*SIN(2*PI()*$K$11*$I$11*B45/$L$11)-($G$11/$H$11)*SIN((($F$11-$G$11)/$G$11)*2*PI()*$I$11*B45/$L$11)</f>
        <v>0</v>
      </c>
    </row>
    <row r="46" spans="2:4" x14ac:dyDescent="0.45">
      <c r="B46" s="1">
        <v>36</v>
      </c>
      <c r="C46" s="9">
        <f>($F$11-$G$11)*COS(2*PI()*$J$11*$I$11*B46/$L$11)+($G$11/$H$11)*COS((($F$11-$G$11)/$G$11)*2*PI()*$I$11*B46/$L$11)</f>
        <v>1</v>
      </c>
      <c r="D46" s="9">
        <f>($F$11-$G$11)*SIN(2*PI()*$K$11*$I$11*B46/$L$11)-($G$11/$H$11)*SIN((($F$11-$G$11)/$G$11)*2*PI()*$I$11*B46/$L$11)</f>
        <v>0</v>
      </c>
    </row>
    <row r="47" spans="2:4" x14ac:dyDescent="0.45">
      <c r="B47" s="1">
        <v>37</v>
      </c>
      <c r="C47" s="9">
        <f>($F$11-$G$11)*COS(2*PI()*$J$11*$I$11*B47/$L$11)+($G$11/$H$11)*COS((($F$11-$G$11)/$G$11)*2*PI()*$I$11*B47/$L$11)</f>
        <v>1</v>
      </c>
      <c r="D47" s="9">
        <f>($F$11-$G$11)*SIN(2*PI()*$K$11*$I$11*B47/$L$11)-($G$11/$H$11)*SIN((($F$11-$G$11)/$G$11)*2*PI()*$I$11*B47/$L$11)</f>
        <v>0</v>
      </c>
    </row>
    <row r="48" spans="2:4" x14ac:dyDescent="0.45">
      <c r="B48" s="1">
        <v>38</v>
      </c>
      <c r="C48" s="9">
        <f>($F$11-$G$11)*COS(2*PI()*$J$11*$I$11*B48/$L$11)+($G$11/$H$11)*COS((($F$11-$G$11)/$G$11)*2*PI()*$I$11*B48/$L$11)</f>
        <v>1</v>
      </c>
      <c r="D48" s="9">
        <f>($F$11-$G$11)*SIN(2*PI()*$K$11*$I$11*B48/$L$11)-($G$11/$H$11)*SIN((($F$11-$G$11)/$G$11)*2*PI()*$I$11*B48/$L$11)</f>
        <v>0</v>
      </c>
    </row>
    <row r="49" spans="2:4" x14ac:dyDescent="0.45">
      <c r="B49" s="1">
        <v>39</v>
      </c>
      <c r="C49" s="9">
        <f>($F$11-$G$11)*COS(2*PI()*$J$11*$I$11*B49/$L$11)+($G$11/$H$11)*COS((($F$11-$G$11)/$G$11)*2*PI()*$I$11*B49/$L$11)</f>
        <v>1</v>
      </c>
      <c r="D49" s="9">
        <f>($F$11-$G$11)*SIN(2*PI()*$K$11*$I$11*B49/$L$11)-($G$11/$H$11)*SIN((($F$11-$G$11)/$G$11)*2*PI()*$I$11*B49/$L$11)</f>
        <v>0</v>
      </c>
    </row>
    <row r="50" spans="2:4" x14ac:dyDescent="0.45">
      <c r="B50" s="1">
        <v>40</v>
      </c>
      <c r="C50" s="9">
        <f>($F$11-$G$11)*COS(2*PI()*$J$11*$I$11*B50/$L$11)+($G$11/$H$11)*COS((($F$11-$G$11)/$G$11)*2*PI()*$I$11*B50/$L$11)</f>
        <v>1</v>
      </c>
      <c r="D50" s="9">
        <f>($F$11-$G$11)*SIN(2*PI()*$K$11*$I$11*B50/$L$11)-($G$11/$H$11)*SIN((($F$11-$G$11)/$G$11)*2*PI()*$I$11*B50/$L$11)</f>
        <v>0</v>
      </c>
    </row>
    <row r="51" spans="2:4" x14ac:dyDescent="0.45">
      <c r="B51" s="1">
        <v>41</v>
      </c>
      <c r="C51" s="9">
        <f>($F$11-$G$11)*COS(2*PI()*$J$11*$I$11*B51/$L$11)+($G$11/$H$11)*COS((($F$11-$G$11)/$G$11)*2*PI()*$I$11*B51/$L$11)</f>
        <v>1</v>
      </c>
      <c r="D51" s="9">
        <f>($F$11-$G$11)*SIN(2*PI()*$K$11*$I$11*B51/$L$11)-($G$11/$H$11)*SIN((($F$11-$G$11)/$G$11)*2*PI()*$I$11*B51/$L$11)</f>
        <v>0</v>
      </c>
    </row>
    <row r="52" spans="2:4" x14ac:dyDescent="0.45">
      <c r="B52" s="1">
        <v>42</v>
      </c>
      <c r="C52" s="9">
        <f>($F$11-$G$11)*COS(2*PI()*$J$11*$I$11*B52/$L$11)+($G$11/$H$11)*COS((($F$11-$G$11)/$G$11)*2*PI()*$I$11*B52/$L$11)</f>
        <v>1</v>
      </c>
      <c r="D52" s="9">
        <f>($F$11-$G$11)*SIN(2*PI()*$K$11*$I$11*B52/$L$11)-($G$11/$H$11)*SIN((($F$11-$G$11)/$G$11)*2*PI()*$I$11*B52/$L$11)</f>
        <v>0</v>
      </c>
    </row>
    <row r="53" spans="2:4" x14ac:dyDescent="0.45">
      <c r="B53" s="1">
        <v>43</v>
      </c>
      <c r="C53" s="9">
        <f>($F$11-$G$11)*COS(2*PI()*$J$11*$I$11*B53/$L$11)+($G$11/$H$11)*COS((($F$11-$G$11)/$G$11)*2*PI()*$I$11*B53/$L$11)</f>
        <v>1</v>
      </c>
      <c r="D53" s="9">
        <f>($F$11-$G$11)*SIN(2*PI()*$K$11*$I$11*B53/$L$11)-($G$11/$H$11)*SIN((($F$11-$G$11)/$G$11)*2*PI()*$I$11*B53/$L$11)</f>
        <v>0</v>
      </c>
    </row>
    <row r="54" spans="2:4" x14ac:dyDescent="0.45">
      <c r="B54" s="1">
        <v>44</v>
      </c>
      <c r="C54" s="9">
        <f>($F$11-$G$11)*COS(2*PI()*$J$11*$I$11*B54/$L$11)+($G$11/$H$11)*COS((($F$11-$G$11)/$G$11)*2*PI()*$I$11*B54/$L$11)</f>
        <v>1</v>
      </c>
      <c r="D54" s="9">
        <f>($F$11-$G$11)*SIN(2*PI()*$K$11*$I$11*B54/$L$11)-($G$11/$H$11)*SIN((($F$11-$G$11)/$G$11)*2*PI()*$I$11*B54/$L$11)</f>
        <v>0</v>
      </c>
    </row>
    <row r="55" spans="2:4" x14ac:dyDescent="0.45">
      <c r="B55" s="1">
        <v>45</v>
      </c>
      <c r="C55" s="9">
        <f>($F$11-$G$11)*COS(2*PI()*$J$11*$I$11*B55/$L$11)+($G$11/$H$11)*COS((($F$11-$G$11)/$G$11)*2*PI()*$I$11*B55/$L$11)</f>
        <v>1</v>
      </c>
      <c r="D55" s="9">
        <f>($F$11-$G$11)*SIN(2*PI()*$K$11*$I$11*B55/$L$11)-($G$11/$H$11)*SIN((($F$11-$G$11)/$G$11)*2*PI()*$I$11*B55/$L$11)</f>
        <v>0</v>
      </c>
    </row>
    <row r="56" spans="2:4" x14ac:dyDescent="0.45">
      <c r="B56" s="1">
        <v>46</v>
      </c>
      <c r="C56" s="9">
        <f>($F$11-$G$11)*COS(2*PI()*$J$11*$I$11*B56/$L$11)+($G$11/$H$11)*COS((($F$11-$G$11)/$G$11)*2*PI()*$I$11*B56/$L$11)</f>
        <v>1</v>
      </c>
      <c r="D56" s="9">
        <f>($F$11-$G$11)*SIN(2*PI()*$K$11*$I$11*B56/$L$11)-($G$11/$H$11)*SIN((($F$11-$G$11)/$G$11)*2*PI()*$I$11*B56/$L$11)</f>
        <v>0</v>
      </c>
    </row>
    <row r="57" spans="2:4" x14ac:dyDescent="0.45">
      <c r="B57" s="1">
        <v>47</v>
      </c>
      <c r="C57" s="9">
        <f>($F$11-$G$11)*COS(2*PI()*$J$11*$I$11*B57/$L$11)+($G$11/$H$11)*COS((($F$11-$G$11)/$G$11)*2*PI()*$I$11*B57/$L$11)</f>
        <v>1</v>
      </c>
      <c r="D57" s="9">
        <f>($F$11-$G$11)*SIN(2*PI()*$K$11*$I$11*B57/$L$11)-($G$11/$H$11)*SIN((($F$11-$G$11)/$G$11)*2*PI()*$I$11*B57/$L$11)</f>
        <v>0</v>
      </c>
    </row>
    <row r="58" spans="2:4" x14ac:dyDescent="0.45">
      <c r="B58" s="1">
        <v>48</v>
      </c>
      <c r="C58" s="9">
        <f>($F$11-$G$11)*COS(2*PI()*$J$11*$I$11*B58/$L$11)+($G$11/$H$11)*COS((($F$11-$G$11)/$G$11)*2*PI()*$I$11*B58/$L$11)</f>
        <v>1</v>
      </c>
      <c r="D58" s="9">
        <f>($F$11-$G$11)*SIN(2*PI()*$K$11*$I$11*B58/$L$11)-($G$11/$H$11)*SIN((($F$11-$G$11)/$G$11)*2*PI()*$I$11*B58/$L$11)</f>
        <v>0</v>
      </c>
    </row>
    <row r="59" spans="2:4" x14ac:dyDescent="0.45">
      <c r="B59" s="1">
        <v>49</v>
      </c>
      <c r="C59" s="9">
        <f>($F$11-$G$11)*COS(2*PI()*$J$11*$I$11*B59/$L$11)+($G$11/$H$11)*COS((($F$11-$G$11)/$G$11)*2*PI()*$I$11*B59/$L$11)</f>
        <v>1</v>
      </c>
      <c r="D59" s="9">
        <f>($F$11-$G$11)*SIN(2*PI()*$K$11*$I$11*B59/$L$11)-($G$11/$H$11)*SIN((($F$11-$G$11)/$G$11)*2*PI()*$I$11*B59/$L$11)</f>
        <v>0</v>
      </c>
    </row>
    <row r="60" spans="2:4" x14ac:dyDescent="0.45">
      <c r="B60" s="1">
        <v>50</v>
      </c>
      <c r="C60" s="9">
        <f>($F$11-$G$11)*COS(2*PI()*$J$11*$I$11*B60/$L$11)+($G$11/$H$11)*COS((($F$11-$G$11)/$G$11)*2*PI()*$I$11*B60/$L$11)</f>
        <v>1</v>
      </c>
      <c r="D60" s="9">
        <f>($F$11-$G$11)*SIN(2*PI()*$K$11*$I$11*B60/$L$11)-($G$11/$H$11)*SIN((($F$11-$G$11)/$G$11)*2*PI()*$I$11*B60/$L$11)</f>
        <v>0</v>
      </c>
    </row>
    <row r="61" spans="2:4" x14ac:dyDescent="0.45">
      <c r="B61" s="1">
        <v>51</v>
      </c>
      <c r="C61" s="9">
        <f>($F$11-$G$11)*COS(2*PI()*$J$11*$I$11*B61/$L$11)+($G$11/$H$11)*COS((($F$11-$G$11)/$G$11)*2*PI()*$I$11*B61/$L$11)</f>
        <v>1</v>
      </c>
      <c r="D61" s="9">
        <f>($F$11-$G$11)*SIN(2*PI()*$K$11*$I$11*B61/$L$11)-($G$11/$H$11)*SIN((($F$11-$G$11)/$G$11)*2*PI()*$I$11*B61/$L$11)</f>
        <v>0</v>
      </c>
    </row>
    <row r="62" spans="2:4" x14ac:dyDescent="0.45">
      <c r="B62" s="1">
        <v>52</v>
      </c>
      <c r="C62" s="9">
        <f>($F$11-$G$11)*COS(2*PI()*$J$11*$I$11*B62/$L$11)+($G$11/$H$11)*COS((($F$11-$G$11)/$G$11)*2*PI()*$I$11*B62/$L$11)</f>
        <v>1</v>
      </c>
      <c r="D62" s="9">
        <f>($F$11-$G$11)*SIN(2*PI()*$K$11*$I$11*B62/$L$11)-($G$11/$H$11)*SIN((($F$11-$G$11)/$G$11)*2*PI()*$I$11*B62/$L$11)</f>
        <v>0</v>
      </c>
    </row>
    <row r="63" spans="2:4" x14ac:dyDescent="0.45">
      <c r="B63" s="1">
        <v>53</v>
      </c>
      <c r="C63" s="9">
        <f>($F$11-$G$11)*COS(2*PI()*$J$11*$I$11*B63/$L$11)+($G$11/$H$11)*COS((($F$11-$G$11)/$G$11)*2*PI()*$I$11*B63/$L$11)</f>
        <v>1</v>
      </c>
      <c r="D63" s="9">
        <f>($F$11-$G$11)*SIN(2*PI()*$K$11*$I$11*B63/$L$11)-($G$11/$H$11)*SIN((($F$11-$G$11)/$G$11)*2*PI()*$I$11*B63/$L$11)</f>
        <v>0</v>
      </c>
    </row>
    <row r="64" spans="2:4" x14ac:dyDescent="0.45">
      <c r="B64" s="1">
        <v>54</v>
      </c>
      <c r="C64" s="9">
        <f>($F$11-$G$11)*COS(2*PI()*$J$11*$I$11*B64/$L$11)+($G$11/$H$11)*COS((($F$11-$G$11)/$G$11)*2*PI()*$I$11*B64/$L$11)</f>
        <v>1</v>
      </c>
      <c r="D64" s="9">
        <f>($F$11-$G$11)*SIN(2*PI()*$K$11*$I$11*B64/$L$11)-($G$11/$H$11)*SIN((($F$11-$G$11)/$G$11)*2*PI()*$I$11*B64/$L$11)</f>
        <v>0</v>
      </c>
    </row>
    <row r="65" spans="2:4" x14ac:dyDescent="0.45">
      <c r="B65" s="1">
        <v>55</v>
      </c>
      <c r="C65" s="9">
        <f>($F$11-$G$11)*COS(2*PI()*$J$11*$I$11*B65/$L$11)+($G$11/$H$11)*COS((($F$11-$G$11)/$G$11)*2*PI()*$I$11*B65/$L$11)</f>
        <v>1</v>
      </c>
      <c r="D65" s="9">
        <f>($F$11-$G$11)*SIN(2*PI()*$K$11*$I$11*B65/$L$11)-($G$11/$H$11)*SIN((($F$11-$G$11)/$G$11)*2*PI()*$I$11*B65/$L$11)</f>
        <v>0</v>
      </c>
    </row>
    <row r="66" spans="2:4" x14ac:dyDescent="0.45">
      <c r="B66" s="1">
        <v>56</v>
      </c>
      <c r="C66" s="9">
        <f>($F$11-$G$11)*COS(2*PI()*$J$11*$I$11*B66/$L$11)+($G$11/$H$11)*COS((($F$11-$G$11)/$G$11)*2*PI()*$I$11*B66/$L$11)</f>
        <v>1</v>
      </c>
      <c r="D66" s="9">
        <f>($F$11-$G$11)*SIN(2*PI()*$K$11*$I$11*B66/$L$11)-($G$11/$H$11)*SIN((($F$11-$G$11)/$G$11)*2*PI()*$I$11*B66/$L$11)</f>
        <v>0</v>
      </c>
    </row>
    <row r="67" spans="2:4" x14ac:dyDescent="0.45">
      <c r="B67" s="1">
        <v>57</v>
      </c>
      <c r="C67" s="9">
        <f>($F$11-$G$11)*COS(2*PI()*$J$11*$I$11*B67/$L$11)+($G$11/$H$11)*COS((($F$11-$G$11)/$G$11)*2*PI()*$I$11*B67/$L$11)</f>
        <v>1</v>
      </c>
      <c r="D67" s="9">
        <f>($F$11-$G$11)*SIN(2*PI()*$K$11*$I$11*B67/$L$11)-($G$11/$H$11)*SIN((($F$11-$G$11)/$G$11)*2*PI()*$I$11*B67/$L$11)</f>
        <v>0</v>
      </c>
    </row>
    <row r="68" spans="2:4" x14ac:dyDescent="0.45">
      <c r="B68" s="1">
        <v>58</v>
      </c>
      <c r="C68" s="9">
        <f>($F$11-$G$11)*COS(2*PI()*$J$11*$I$11*B68/$L$11)+($G$11/$H$11)*COS((($F$11-$G$11)/$G$11)*2*PI()*$I$11*B68/$L$11)</f>
        <v>1</v>
      </c>
      <c r="D68" s="9">
        <f>($F$11-$G$11)*SIN(2*PI()*$K$11*$I$11*B68/$L$11)-($G$11/$H$11)*SIN((($F$11-$G$11)/$G$11)*2*PI()*$I$11*B68/$L$11)</f>
        <v>0</v>
      </c>
    </row>
    <row r="69" spans="2:4" x14ac:dyDescent="0.45">
      <c r="B69" s="1">
        <v>59</v>
      </c>
      <c r="C69" s="9">
        <f>($F$11-$G$11)*COS(2*PI()*$J$11*$I$11*B69/$L$11)+($G$11/$H$11)*COS((($F$11-$G$11)/$G$11)*2*PI()*$I$11*B69/$L$11)</f>
        <v>1</v>
      </c>
      <c r="D69" s="9">
        <f>($F$11-$G$11)*SIN(2*PI()*$K$11*$I$11*B69/$L$11)-($G$11/$H$11)*SIN((($F$11-$G$11)/$G$11)*2*PI()*$I$11*B69/$L$11)</f>
        <v>0</v>
      </c>
    </row>
    <row r="70" spans="2:4" x14ac:dyDescent="0.45">
      <c r="B70" s="1">
        <v>60</v>
      </c>
      <c r="C70" s="9">
        <f>($F$11-$G$11)*COS(2*PI()*$J$11*$I$11*B70/$L$11)+($G$11/$H$11)*COS((($F$11-$G$11)/$G$11)*2*PI()*$I$11*B70/$L$11)</f>
        <v>1</v>
      </c>
      <c r="D70" s="9">
        <f>($F$11-$G$11)*SIN(2*PI()*$K$11*$I$11*B70/$L$11)-($G$11/$H$11)*SIN((($F$11-$G$11)/$G$11)*2*PI()*$I$11*B70/$L$11)</f>
        <v>0</v>
      </c>
    </row>
    <row r="71" spans="2:4" x14ac:dyDescent="0.45">
      <c r="B71" s="1">
        <v>61</v>
      </c>
      <c r="C71" s="9">
        <f>($F$11-$G$11)*COS(2*PI()*$J$11*$I$11*B71/$L$11)+($G$11/$H$11)*COS((($F$11-$G$11)/$G$11)*2*PI()*$I$11*B71/$L$11)</f>
        <v>1</v>
      </c>
      <c r="D71" s="9">
        <f>($F$11-$G$11)*SIN(2*PI()*$K$11*$I$11*B71/$L$11)-($G$11/$H$11)*SIN((($F$11-$G$11)/$G$11)*2*PI()*$I$11*B71/$L$11)</f>
        <v>0</v>
      </c>
    </row>
    <row r="72" spans="2:4" x14ac:dyDescent="0.45">
      <c r="B72" s="1">
        <v>62</v>
      </c>
      <c r="C72" s="9">
        <f>($F$11-$G$11)*COS(2*PI()*$J$11*$I$11*B72/$L$11)+($G$11/$H$11)*COS((($F$11-$G$11)/$G$11)*2*PI()*$I$11*B72/$L$11)</f>
        <v>1</v>
      </c>
      <c r="D72" s="9">
        <f>($F$11-$G$11)*SIN(2*PI()*$K$11*$I$11*B72/$L$11)-($G$11/$H$11)*SIN((($F$11-$G$11)/$G$11)*2*PI()*$I$11*B72/$L$11)</f>
        <v>0</v>
      </c>
    </row>
    <row r="73" spans="2:4" x14ac:dyDescent="0.45">
      <c r="B73" s="1">
        <v>63</v>
      </c>
      <c r="C73" s="9">
        <f>($F$11-$G$11)*COS(2*PI()*$J$11*$I$11*B73/$L$11)+($G$11/$H$11)*COS((($F$11-$G$11)/$G$11)*2*PI()*$I$11*B73/$L$11)</f>
        <v>1</v>
      </c>
      <c r="D73" s="9">
        <f>($F$11-$G$11)*SIN(2*PI()*$K$11*$I$11*B73/$L$11)-($G$11/$H$11)*SIN((($F$11-$G$11)/$G$11)*2*PI()*$I$11*B73/$L$11)</f>
        <v>0</v>
      </c>
    </row>
    <row r="74" spans="2:4" x14ac:dyDescent="0.45">
      <c r="B74" s="1">
        <v>64</v>
      </c>
      <c r="C74" s="9">
        <f>($F$11-$G$11)*COS(2*PI()*$J$11*$I$11*B74/$L$11)+($G$11/$H$11)*COS((($F$11-$G$11)/$G$11)*2*PI()*$I$11*B74/$L$11)</f>
        <v>1</v>
      </c>
      <c r="D74" s="9">
        <f>($F$11-$G$11)*SIN(2*PI()*$K$11*$I$11*B74/$L$11)-($G$11/$H$11)*SIN((($F$11-$G$11)/$G$11)*2*PI()*$I$11*B74/$L$11)</f>
        <v>0</v>
      </c>
    </row>
    <row r="75" spans="2:4" x14ac:dyDescent="0.45">
      <c r="B75" s="1">
        <v>65</v>
      </c>
      <c r="C75" s="9">
        <f>($F$11-$G$11)*COS(2*PI()*$J$11*$I$11*B75/$L$11)+($G$11/$H$11)*COS((($F$11-$G$11)/$G$11)*2*PI()*$I$11*B75/$L$11)</f>
        <v>1</v>
      </c>
      <c r="D75" s="9">
        <f>($F$11-$G$11)*SIN(2*PI()*$K$11*$I$11*B75/$L$11)-($G$11/$H$11)*SIN((($F$11-$G$11)/$G$11)*2*PI()*$I$11*B75/$L$11)</f>
        <v>0</v>
      </c>
    </row>
    <row r="76" spans="2:4" x14ac:dyDescent="0.45">
      <c r="B76" s="1">
        <v>66</v>
      </c>
      <c r="C76" s="9">
        <f>($F$11-$G$11)*COS(2*PI()*$J$11*$I$11*B76/$L$11)+($G$11/$H$11)*COS((($F$11-$G$11)/$G$11)*2*PI()*$I$11*B76/$L$11)</f>
        <v>1</v>
      </c>
      <c r="D76" s="9">
        <f>($F$11-$G$11)*SIN(2*PI()*$K$11*$I$11*B76/$L$11)-($G$11/$H$11)*SIN((($F$11-$G$11)/$G$11)*2*PI()*$I$11*B76/$L$11)</f>
        <v>0</v>
      </c>
    </row>
    <row r="77" spans="2:4" x14ac:dyDescent="0.45">
      <c r="B77" s="1">
        <v>67</v>
      </c>
      <c r="C77" s="9">
        <f>($F$11-$G$11)*COS(2*PI()*$J$11*$I$11*B77/$L$11)+($G$11/$H$11)*COS((($F$11-$G$11)/$G$11)*2*PI()*$I$11*B77/$L$11)</f>
        <v>1</v>
      </c>
      <c r="D77" s="9">
        <f>($F$11-$G$11)*SIN(2*PI()*$K$11*$I$11*B77/$L$11)-($G$11/$H$11)*SIN((($F$11-$G$11)/$G$11)*2*PI()*$I$11*B77/$L$11)</f>
        <v>0</v>
      </c>
    </row>
    <row r="78" spans="2:4" x14ac:dyDescent="0.45">
      <c r="B78" s="1">
        <v>68</v>
      </c>
      <c r="C78" s="9">
        <f>($F$11-$G$11)*COS(2*PI()*$J$11*$I$11*B78/$L$11)+($G$11/$H$11)*COS((($F$11-$G$11)/$G$11)*2*PI()*$I$11*B78/$L$11)</f>
        <v>1</v>
      </c>
      <c r="D78" s="9">
        <f>($F$11-$G$11)*SIN(2*PI()*$K$11*$I$11*B78/$L$11)-($G$11/$H$11)*SIN((($F$11-$G$11)/$G$11)*2*PI()*$I$11*B78/$L$11)</f>
        <v>0</v>
      </c>
    </row>
    <row r="79" spans="2:4" x14ac:dyDescent="0.45">
      <c r="B79" s="1">
        <v>69</v>
      </c>
      <c r="C79" s="9">
        <f>($F$11-$G$11)*COS(2*PI()*$J$11*$I$11*B79/$L$11)+($G$11/$H$11)*COS((($F$11-$G$11)/$G$11)*2*PI()*$I$11*B79/$L$11)</f>
        <v>1</v>
      </c>
      <c r="D79" s="9">
        <f>($F$11-$G$11)*SIN(2*PI()*$K$11*$I$11*B79/$L$11)-($G$11/$H$11)*SIN((($F$11-$G$11)/$G$11)*2*PI()*$I$11*B79/$L$11)</f>
        <v>0</v>
      </c>
    </row>
    <row r="80" spans="2:4" x14ac:dyDescent="0.45">
      <c r="B80" s="1">
        <v>70</v>
      </c>
      <c r="C80" s="9">
        <f>($F$11-$G$11)*COS(2*PI()*$J$11*$I$11*B80/$L$11)+($G$11/$H$11)*COS((($F$11-$G$11)/$G$11)*2*PI()*$I$11*B80/$L$11)</f>
        <v>1</v>
      </c>
      <c r="D80" s="9">
        <f>($F$11-$G$11)*SIN(2*PI()*$K$11*$I$11*B80/$L$11)-($G$11/$H$11)*SIN((($F$11-$G$11)/$G$11)*2*PI()*$I$11*B80/$L$11)</f>
        <v>0</v>
      </c>
    </row>
    <row r="81" spans="2:4" x14ac:dyDescent="0.45">
      <c r="B81" s="1">
        <v>71</v>
      </c>
      <c r="C81" s="9">
        <f>($F$11-$G$11)*COS(2*PI()*$J$11*$I$11*B81/$L$11)+($G$11/$H$11)*COS((($F$11-$G$11)/$G$11)*2*PI()*$I$11*B81/$L$11)</f>
        <v>1</v>
      </c>
      <c r="D81" s="9">
        <f>($F$11-$G$11)*SIN(2*PI()*$K$11*$I$11*B81/$L$11)-($G$11/$H$11)*SIN((($F$11-$G$11)/$G$11)*2*PI()*$I$11*B81/$L$11)</f>
        <v>0</v>
      </c>
    </row>
    <row r="82" spans="2:4" x14ac:dyDescent="0.45">
      <c r="B82" s="1">
        <v>72</v>
      </c>
      <c r="C82" s="9">
        <f>($F$11-$G$11)*COS(2*PI()*$J$11*$I$11*B82/$L$11)+($G$11/$H$11)*COS((($F$11-$G$11)/$G$11)*2*PI()*$I$11*B82/$L$11)</f>
        <v>1</v>
      </c>
      <c r="D82" s="9">
        <f>($F$11-$G$11)*SIN(2*PI()*$K$11*$I$11*B82/$L$11)-($G$11/$H$11)*SIN((($F$11-$G$11)/$G$11)*2*PI()*$I$11*B82/$L$11)</f>
        <v>0</v>
      </c>
    </row>
    <row r="83" spans="2:4" x14ac:dyDescent="0.45">
      <c r="B83" s="1">
        <v>73</v>
      </c>
      <c r="C83" s="9">
        <f>($F$11-$G$11)*COS(2*PI()*$J$11*$I$11*B83/$L$11)+($G$11/$H$11)*COS((($F$11-$G$11)/$G$11)*2*PI()*$I$11*B83/$L$11)</f>
        <v>1</v>
      </c>
      <c r="D83" s="9">
        <f>($F$11-$G$11)*SIN(2*PI()*$K$11*$I$11*B83/$L$11)-($G$11/$H$11)*SIN((($F$11-$G$11)/$G$11)*2*PI()*$I$11*B83/$L$11)</f>
        <v>0</v>
      </c>
    </row>
    <row r="84" spans="2:4" x14ac:dyDescent="0.45">
      <c r="B84" s="1">
        <v>74</v>
      </c>
      <c r="C84" s="9">
        <f>($F$11-$G$11)*COS(2*PI()*$J$11*$I$11*B84/$L$11)+($G$11/$H$11)*COS((($F$11-$G$11)/$G$11)*2*PI()*$I$11*B84/$L$11)</f>
        <v>1</v>
      </c>
      <c r="D84" s="9">
        <f>($F$11-$G$11)*SIN(2*PI()*$K$11*$I$11*B84/$L$11)-($G$11/$H$11)*SIN((($F$11-$G$11)/$G$11)*2*PI()*$I$11*B84/$L$11)</f>
        <v>0</v>
      </c>
    </row>
    <row r="85" spans="2:4" x14ac:dyDescent="0.45">
      <c r="B85" s="1">
        <v>75</v>
      </c>
      <c r="C85" s="9">
        <f>($F$11-$G$11)*COS(2*PI()*$J$11*$I$11*B85/$L$11)+($G$11/$H$11)*COS((($F$11-$G$11)/$G$11)*2*PI()*$I$11*B85/$L$11)</f>
        <v>1</v>
      </c>
      <c r="D85" s="9">
        <f>($F$11-$G$11)*SIN(2*PI()*$K$11*$I$11*B85/$L$11)-($G$11/$H$11)*SIN((($F$11-$G$11)/$G$11)*2*PI()*$I$11*B85/$L$11)</f>
        <v>0</v>
      </c>
    </row>
    <row r="86" spans="2:4" x14ac:dyDescent="0.45">
      <c r="B86" s="1">
        <v>76</v>
      </c>
      <c r="C86" s="9">
        <f>($F$11-$G$11)*COS(2*PI()*$J$11*$I$11*B86/$L$11)+($G$11/$H$11)*COS((($F$11-$G$11)/$G$11)*2*PI()*$I$11*B86/$L$11)</f>
        <v>1</v>
      </c>
      <c r="D86" s="9">
        <f>($F$11-$G$11)*SIN(2*PI()*$K$11*$I$11*B86/$L$11)-($G$11/$H$11)*SIN((($F$11-$G$11)/$G$11)*2*PI()*$I$11*B86/$L$11)</f>
        <v>0</v>
      </c>
    </row>
    <row r="87" spans="2:4" x14ac:dyDescent="0.45">
      <c r="B87" s="1">
        <v>77</v>
      </c>
      <c r="C87" s="9">
        <f>($F$11-$G$11)*COS(2*PI()*$J$11*$I$11*B87/$L$11)+($G$11/$H$11)*COS((($F$11-$G$11)/$G$11)*2*PI()*$I$11*B87/$L$11)</f>
        <v>1</v>
      </c>
      <c r="D87" s="9">
        <f>($F$11-$G$11)*SIN(2*PI()*$K$11*$I$11*B87/$L$11)-($G$11/$H$11)*SIN((($F$11-$G$11)/$G$11)*2*PI()*$I$11*B87/$L$11)</f>
        <v>0</v>
      </c>
    </row>
    <row r="88" spans="2:4" x14ac:dyDescent="0.45">
      <c r="B88" s="1">
        <v>78</v>
      </c>
      <c r="C88" s="9">
        <f>($F$11-$G$11)*COS(2*PI()*$J$11*$I$11*B88/$L$11)+($G$11/$H$11)*COS((($F$11-$G$11)/$G$11)*2*PI()*$I$11*B88/$L$11)</f>
        <v>1</v>
      </c>
      <c r="D88" s="9">
        <f>($F$11-$G$11)*SIN(2*PI()*$K$11*$I$11*B88/$L$11)-($G$11/$H$11)*SIN((($F$11-$G$11)/$G$11)*2*PI()*$I$11*B88/$L$11)</f>
        <v>0</v>
      </c>
    </row>
    <row r="89" spans="2:4" x14ac:dyDescent="0.45">
      <c r="B89" s="1">
        <v>79</v>
      </c>
      <c r="C89" s="9">
        <f>($F$11-$G$11)*COS(2*PI()*$J$11*$I$11*B89/$L$11)+($G$11/$H$11)*COS((($F$11-$G$11)/$G$11)*2*PI()*$I$11*B89/$L$11)</f>
        <v>1</v>
      </c>
      <c r="D89" s="9">
        <f>($F$11-$G$11)*SIN(2*PI()*$K$11*$I$11*B89/$L$11)-($G$11/$H$11)*SIN((($F$11-$G$11)/$G$11)*2*PI()*$I$11*B89/$L$11)</f>
        <v>0</v>
      </c>
    </row>
    <row r="90" spans="2:4" x14ac:dyDescent="0.45">
      <c r="B90" s="1">
        <v>80</v>
      </c>
      <c r="C90" s="9">
        <f>($F$11-$G$11)*COS(2*PI()*$J$11*$I$11*B90/$L$11)+($G$11/$H$11)*COS((($F$11-$G$11)/$G$11)*2*PI()*$I$11*B90/$L$11)</f>
        <v>1</v>
      </c>
      <c r="D90" s="9">
        <f>($F$11-$G$11)*SIN(2*PI()*$K$11*$I$11*B90/$L$11)-($G$11/$H$11)*SIN((($F$11-$G$11)/$G$11)*2*PI()*$I$11*B90/$L$11)</f>
        <v>0</v>
      </c>
    </row>
    <row r="91" spans="2:4" x14ac:dyDescent="0.45">
      <c r="B91" s="1">
        <v>81</v>
      </c>
      <c r="C91" s="9">
        <f>($F$11-$G$11)*COS(2*PI()*$J$11*$I$11*B91/$L$11)+($G$11/$H$11)*COS((($F$11-$G$11)/$G$11)*2*PI()*$I$11*B91/$L$11)</f>
        <v>1</v>
      </c>
      <c r="D91" s="9">
        <f>($F$11-$G$11)*SIN(2*PI()*$K$11*$I$11*B91/$L$11)-($G$11/$H$11)*SIN((($F$11-$G$11)/$G$11)*2*PI()*$I$11*B91/$L$11)</f>
        <v>0</v>
      </c>
    </row>
    <row r="92" spans="2:4" x14ac:dyDescent="0.45">
      <c r="B92" s="1">
        <v>82</v>
      </c>
      <c r="C92" s="9">
        <f>($F$11-$G$11)*COS(2*PI()*$J$11*$I$11*B92/$L$11)+($G$11/$H$11)*COS((($F$11-$G$11)/$G$11)*2*PI()*$I$11*B92/$L$11)</f>
        <v>1</v>
      </c>
      <c r="D92" s="9">
        <f>($F$11-$G$11)*SIN(2*PI()*$K$11*$I$11*B92/$L$11)-($G$11/$H$11)*SIN((($F$11-$G$11)/$G$11)*2*PI()*$I$11*B92/$L$11)</f>
        <v>0</v>
      </c>
    </row>
    <row r="93" spans="2:4" x14ac:dyDescent="0.45">
      <c r="B93" s="1">
        <v>83</v>
      </c>
      <c r="C93" s="9">
        <f>($F$11-$G$11)*COS(2*PI()*$J$11*$I$11*B93/$L$11)+($G$11/$H$11)*COS((($F$11-$G$11)/$G$11)*2*PI()*$I$11*B93/$L$11)</f>
        <v>1</v>
      </c>
      <c r="D93" s="9">
        <f>($F$11-$G$11)*SIN(2*PI()*$K$11*$I$11*B93/$L$11)-($G$11/$H$11)*SIN((($F$11-$G$11)/$G$11)*2*PI()*$I$11*B93/$L$11)</f>
        <v>0</v>
      </c>
    </row>
    <row r="94" spans="2:4" x14ac:dyDescent="0.45">
      <c r="B94" s="1">
        <v>84</v>
      </c>
      <c r="C94" s="9">
        <f>($F$11-$G$11)*COS(2*PI()*$J$11*$I$11*B94/$L$11)+($G$11/$H$11)*COS((($F$11-$G$11)/$G$11)*2*PI()*$I$11*B94/$L$11)</f>
        <v>1</v>
      </c>
      <c r="D94" s="9">
        <f>($F$11-$G$11)*SIN(2*PI()*$K$11*$I$11*B94/$L$11)-($G$11/$H$11)*SIN((($F$11-$G$11)/$G$11)*2*PI()*$I$11*B94/$L$11)</f>
        <v>0</v>
      </c>
    </row>
    <row r="95" spans="2:4" x14ac:dyDescent="0.45">
      <c r="B95" s="1">
        <v>85</v>
      </c>
      <c r="C95" s="9">
        <f>($F$11-$G$11)*COS(2*PI()*$J$11*$I$11*B95/$L$11)+($G$11/$H$11)*COS((($F$11-$G$11)/$G$11)*2*PI()*$I$11*B95/$L$11)</f>
        <v>1</v>
      </c>
      <c r="D95" s="9">
        <f>($F$11-$G$11)*SIN(2*PI()*$K$11*$I$11*B95/$L$11)-($G$11/$H$11)*SIN((($F$11-$G$11)/$G$11)*2*PI()*$I$11*B95/$L$11)</f>
        <v>0</v>
      </c>
    </row>
    <row r="96" spans="2:4" x14ac:dyDescent="0.45">
      <c r="B96" s="1">
        <v>86</v>
      </c>
      <c r="C96" s="9">
        <f>($F$11-$G$11)*COS(2*PI()*$J$11*$I$11*B96/$L$11)+($G$11/$H$11)*COS((($F$11-$G$11)/$G$11)*2*PI()*$I$11*B96/$L$11)</f>
        <v>1</v>
      </c>
      <c r="D96" s="9">
        <f>($F$11-$G$11)*SIN(2*PI()*$K$11*$I$11*B96/$L$11)-($G$11/$H$11)*SIN((($F$11-$G$11)/$G$11)*2*PI()*$I$11*B96/$L$11)</f>
        <v>0</v>
      </c>
    </row>
    <row r="97" spans="2:4" x14ac:dyDescent="0.45">
      <c r="B97" s="1">
        <v>87</v>
      </c>
      <c r="C97" s="9">
        <f>($F$11-$G$11)*COS(2*PI()*$J$11*$I$11*B97/$L$11)+($G$11/$H$11)*COS((($F$11-$G$11)/$G$11)*2*PI()*$I$11*B97/$L$11)</f>
        <v>1</v>
      </c>
      <c r="D97" s="9">
        <f>($F$11-$G$11)*SIN(2*PI()*$K$11*$I$11*B97/$L$11)-($G$11/$H$11)*SIN((($F$11-$G$11)/$G$11)*2*PI()*$I$11*B97/$L$11)</f>
        <v>0</v>
      </c>
    </row>
    <row r="98" spans="2:4" x14ac:dyDescent="0.45">
      <c r="B98" s="1">
        <v>88</v>
      </c>
      <c r="C98" s="9">
        <f>($F$11-$G$11)*COS(2*PI()*$J$11*$I$11*B98/$L$11)+($G$11/$H$11)*COS((($F$11-$G$11)/$G$11)*2*PI()*$I$11*B98/$L$11)</f>
        <v>1</v>
      </c>
      <c r="D98" s="9">
        <f>($F$11-$G$11)*SIN(2*PI()*$K$11*$I$11*B98/$L$11)-($G$11/$H$11)*SIN((($F$11-$G$11)/$G$11)*2*PI()*$I$11*B98/$L$11)</f>
        <v>0</v>
      </c>
    </row>
    <row r="99" spans="2:4" x14ac:dyDescent="0.45">
      <c r="B99" s="1">
        <v>89</v>
      </c>
      <c r="C99" s="9">
        <f>($F$11-$G$11)*COS(2*PI()*$J$11*$I$11*B99/$L$11)+($G$11/$H$11)*COS((($F$11-$G$11)/$G$11)*2*PI()*$I$11*B99/$L$11)</f>
        <v>1</v>
      </c>
      <c r="D99" s="9">
        <f>($F$11-$G$11)*SIN(2*PI()*$K$11*$I$11*B99/$L$11)-($G$11/$H$11)*SIN((($F$11-$G$11)/$G$11)*2*PI()*$I$11*B99/$L$11)</f>
        <v>0</v>
      </c>
    </row>
    <row r="100" spans="2:4" x14ac:dyDescent="0.45">
      <c r="B100" s="1">
        <v>90</v>
      </c>
      <c r="C100" s="9">
        <f>($F$11-$G$11)*COS(2*PI()*$J$11*$I$11*B100/$L$11)+($G$11/$H$11)*COS((($F$11-$G$11)/$G$11)*2*PI()*$I$11*B100/$L$11)</f>
        <v>1</v>
      </c>
      <c r="D100" s="9">
        <f>($F$11-$G$11)*SIN(2*PI()*$K$11*$I$11*B100/$L$11)-($G$11/$H$11)*SIN((($F$11-$G$11)/$G$11)*2*PI()*$I$11*B100/$L$11)</f>
        <v>0</v>
      </c>
    </row>
    <row r="101" spans="2:4" x14ac:dyDescent="0.45">
      <c r="B101" s="1">
        <v>91</v>
      </c>
      <c r="C101" s="9">
        <f>($F$11-$G$11)*COS(2*PI()*$J$11*$I$11*B101/$L$11)+($G$11/$H$11)*COS((($F$11-$G$11)/$G$11)*2*PI()*$I$11*B101/$L$11)</f>
        <v>1</v>
      </c>
      <c r="D101" s="9">
        <f>($F$11-$G$11)*SIN(2*PI()*$K$11*$I$11*B101/$L$11)-($G$11/$H$11)*SIN((($F$11-$G$11)/$G$11)*2*PI()*$I$11*B101/$L$11)</f>
        <v>0</v>
      </c>
    </row>
    <row r="102" spans="2:4" x14ac:dyDescent="0.45">
      <c r="B102" s="1">
        <v>92</v>
      </c>
      <c r="C102" s="9">
        <f>($F$11-$G$11)*COS(2*PI()*$J$11*$I$11*B102/$L$11)+($G$11/$H$11)*COS((($F$11-$G$11)/$G$11)*2*PI()*$I$11*B102/$L$11)</f>
        <v>1</v>
      </c>
      <c r="D102" s="9">
        <f>($F$11-$G$11)*SIN(2*PI()*$K$11*$I$11*B102/$L$11)-($G$11/$H$11)*SIN((($F$11-$G$11)/$G$11)*2*PI()*$I$11*B102/$L$11)</f>
        <v>0</v>
      </c>
    </row>
    <row r="103" spans="2:4" x14ac:dyDescent="0.45">
      <c r="B103" s="1">
        <v>93</v>
      </c>
      <c r="C103" s="9">
        <f>($F$11-$G$11)*COS(2*PI()*$J$11*$I$11*B103/$L$11)+($G$11/$H$11)*COS((($F$11-$G$11)/$G$11)*2*PI()*$I$11*B103/$L$11)</f>
        <v>1</v>
      </c>
      <c r="D103" s="9">
        <f>($F$11-$G$11)*SIN(2*PI()*$K$11*$I$11*B103/$L$11)-($G$11/$H$11)*SIN((($F$11-$G$11)/$G$11)*2*PI()*$I$11*B103/$L$11)</f>
        <v>0</v>
      </c>
    </row>
    <row r="104" spans="2:4" x14ac:dyDescent="0.45">
      <c r="B104" s="1">
        <v>94</v>
      </c>
      <c r="C104" s="9">
        <f>($F$11-$G$11)*COS(2*PI()*$J$11*$I$11*B104/$L$11)+($G$11/$H$11)*COS((($F$11-$G$11)/$G$11)*2*PI()*$I$11*B104/$L$11)</f>
        <v>1</v>
      </c>
      <c r="D104" s="9">
        <f>($F$11-$G$11)*SIN(2*PI()*$K$11*$I$11*B104/$L$11)-($G$11/$H$11)*SIN((($F$11-$G$11)/$G$11)*2*PI()*$I$11*B104/$L$11)</f>
        <v>0</v>
      </c>
    </row>
    <row r="105" spans="2:4" x14ac:dyDescent="0.45">
      <c r="B105" s="1">
        <v>95</v>
      </c>
      <c r="C105" s="9">
        <f>($F$11-$G$11)*COS(2*PI()*$J$11*$I$11*B105/$L$11)+($G$11/$H$11)*COS((($F$11-$G$11)/$G$11)*2*PI()*$I$11*B105/$L$11)</f>
        <v>1</v>
      </c>
      <c r="D105" s="9">
        <f>($F$11-$G$11)*SIN(2*PI()*$K$11*$I$11*B105/$L$11)-($G$11/$H$11)*SIN((($F$11-$G$11)/$G$11)*2*PI()*$I$11*B105/$L$11)</f>
        <v>0</v>
      </c>
    </row>
    <row r="106" spans="2:4" x14ac:dyDescent="0.45">
      <c r="B106" s="1">
        <v>96</v>
      </c>
      <c r="C106" s="9">
        <f>($F$11-$G$11)*COS(2*PI()*$J$11*$I$11*B106/$L$11)+($G$11/$H$11)*COS((($F$11-$G$11)/$G$11)*2*PI()*$I$11*B106/$L$11)</f>
        <v>1</v>
      </c>
      <c r="D106" s="9">
        <f>($F$11-$G$11)*SIN(2*PI()*$K$11*$I$11*B106/$L$11)-($G$11/$H$11)*SIN((($F$11-$G$11)/$G$11)*2*PI()*$I$11*B106/$L$11)</f>
        <v>0</v>
      </c>
    </row>
    <row r="107" spans="2:4" x14ac:dyDescent="0.45">
      <c r="B107" s="1">
        <v>97</v>
      </c>
      <c r="C107" s="9">
        <f>($F$11-$G$11)*COS(2*PI()*$J$11*$I$11*B107/$L$11)+($G$11/$H$11)*COS((($F$11-$G$11)/$G$11)*2*PI()*$I$11*B107/$L$11)</f>
        <v>1</v>
      </c>
      <c r="D107" s="9">
        <f>($F$11-$G$11)*SIN(2*PI()*$K$11*$I$11*B107/$L$11)-($G$11/$H$11)*SIN((($F$11-$G$11)/$G$11)*2*PI()*$I$11*B107/$L$11)</f>
        <v>0</v>
      </c>
    </row>
    <row r="108" spans="2:4" x14ac:dyDescent="0.45">
      <c r="B108" s="1">
        <v>98</v>
      </c>
      <c r="C108" s="9">
        <f>($F$11-$G$11)*COS(2*PI()*$J$11*$I$11*B108/$L$11)+($G$11/$H$11)*COS((($F$11-$G$11)/$G$11)*2*PI()*$I$11*B108/$L$11)</f>
        <v>1</v>
      </c>
      <c r="D108" s="9">
        <f>($F$11-$G$11)*SIN(2*PI()*$K$11*$I$11*B108/$L$11)-($G$11/$H$11)*SIN((($F$11-$G$11)/$G$11)*2*PI()*$I$11*B108/$L$11)</f>
        <v>0</v>
      </c>
    </row>
    <row r="109" spans="2:4" x14ac:dyDescent="0.45">
      <c r="B109" s="1">
        <v>99</v>
      </c>
      <c r="C109" s="9">
        <f>($F$11-$G$11)*COS(2*PI()*$J$11*$I$11*B109/$L$11)+($G$11/$H$11)*COS((($F$11-$G$11)/$G$11)*2*PI()*$I$11*B109/$L$11)</f>
        <v>1</v>
      </c>
      <c r="D109" s="9">
        <f>($F$11-$G$11)*SIN(2*PI()*$K$11*$I$11*B109/$L$11)-($G$11/$H$11)*SIN((($F$11-$G$11)/$G$11)*2*PI()*$I$11*B109/$L$11)</f>
        <v>0</v>
      </c>
    </row>
    <row r="110" spans="2:4" x14ac:dyDescent="0.45">
      <c r="B110" s="1">
        <v>100</v>
      </c>
      <c r="C110" s="9">
        <f>($F$11-$G$11)*COS(2*PI()*$J$11*$I$11*B110/$L$11)+($G$11/$H$11)*COS((($F$11-$G$11)/$G$11)*2*PI()*$I$11*B110/$L$11)</f>
        <v>1</v>
      </c>
      <c r="D110" s="9">
        <f>($F$11-$G$11)*SIN(2*PI()*$K$11*$I$11*B110/$L$11)-($G$11/$H$11)*SIN((($F$11-$G$11)/$G$11)*2*PI()*$I$11*B110/$L$11)</f>
        <v>0</v>
      </c>
    </row>
    <row r="111" spans="2:4" x14ac:dyDescent="0.45">
      <c r="B111" s="1">
        <v>101</v>
      </c>
      <c r="C111" s="9">
        <f>($F$11-$G$11)*COS(2*PI()*$J$11*$I$11*B111/$L$11)+($G$11/$H$11)*COS((($F$11-$G$11)/$G$11)*2*PI()*$I$11*B111/$L$11)</f>
        <v>1</v>
      </c>
      <c r="D111" s="9">
        <f>($F$11-$G$11)*SIN(2*PI()*$K$11*$I$11*B111/$L$11)-($G$11/$H$11)*SIN((($F$11-$G$11)/$G$11)*2*PI()*$I$11*B111/$L$11)</f>
        <v>0</v>
      </c>
    </row>
    <row r="112" spans="2:4" x14ac:dyDescent="0.45">
      <c r="B112" s="1">
        <v>102</v>
      </c>
      <c r="C112" s="9">
        <f>($F$11-$G$11)*COS(2*PI()*$J$11*$I$11*B112/$L$11)+($G$11/$H$11)*COS((($F$11-$G$11)/$G$11)*2*PI()*$I$11*B112/$L$11)</f>
        <v>1</v>
      </c>
      <c r="D112" s="9">
        <f>($F$11-$G$11)*SIN(2*PI()*$K$11*$I$11*B112/$L$11)-($G$11/$H$11)*SIN((($F$11-$G$11)/$G$11)*2*PI()*$I$11*B112/$L$11)</f>
        <v>0</v>
      </c>
    </row>
    <row r="113" spans="2:4" x14ac:dyDescent="0.45">
      <c r="B113" s="1">
        <v>103</v>
      </c>
      <c r="C113" s="9">
        <f>($F$11-$G$11)*COS(2*PI()*$J$11*$I$11*B113/$L$11)+($G$11/$H$11)*COS((($F$11-$G$11)/$G$11)*2*PI()*$I$11*B113/$L$11)</f>
        <v>1</v>
      </c>
      <c r="D113" s="9">
        <f>($F$11-$G$11)*SIN(2*PI()*$K$11*$I$11*B113/$L$11)-($G$11/$H$11)*SIN((($F$11-$G$11)/$G$11)*2*PI()*$I$11*B113/$L$11)</f>
        <v>0</v>
      </c>
    </row>
    <row r="114" spans="2:4" x14ac:dyDescent="0.45">
      <c r="B114" s="1">
        <v>104</v>
      </c>
      <c r="C114" s="9">
        <f>($F$11-$G$11)*COS(2*PI()*$J$11*$I$11*B114/$L$11)+($G$11/$H$11)*COS((($F$11-$G$11)/$G$11)*2*PI()*$I$11*B114/$L$11)</f>
        <v>1</v>
      </c>
      <c r="D114" s="9">
        <f>($F$11-$G$11)*SIN(2*PI()*$K$11*$I$11*B114/$L$11)-($G$11/$H$11)*SIN((($F$11-$G$11)/$G$11)*2*PI()*$I$11*B114/$L$11)</f>
        <v>0</v>
      </c>
    </row>
    <row r="115" spans="2:4" x14ac:dyDescent="0.45">
      <c r="B115" s="1">
        <v>105</v>
      </c>
      <c r="C115" s="9">
        <f>($F$11-$G$11)*COS(2*PI()*$J$11*$I$11*B115/$L$11)+($G$11/$H$11)*COS((($F$11-$G$11)/$G$11)*2*PI()*$I$11*B115/$L$11)</f>
        <v>1</v>
      </c>
      <c r="D115" s="9">
        <f>($F$11-$G$11)*SIN(2*PI()*$K$11*$I$11*B115/$L$11)-($G$11/$H$11)*SIN((($F$11-$G$11)/$G$11)*2*PI()*$I$11*B115/$L$11)</f>
        <v>0</v>
      </c>
    </row>
    <row r="116" spans="2:4" x14ac:dyDescent="0.45">
      <c r="B116" s="1">
        <v>106</v>
      </c>
      <c r="C116" s="9">
        <f>($F$11-$G$11)*COS(2*PI()*$J$11*$I$11*B116/$L$11)+($G$11/$H$11)*COS((($F$11-$G$11)/$G$11)*2*PI()*$I$11*B116/$L$11)</f>
        <v>1</v>
      </c>
      <c r="D116" s="9">
        <f>($F$11-$G$11)*SIN(2*PI()*$K$11*$I$11*B116/$L$11)-($G$11/$H$11)*SIN((($F$11-$G$11)/$G$11)*2*PI()*$I$11*B116/$L$11)</f>
        <v>0</v>
      </c>
    </row>
    <row r="117" spans="2:4" x14ac:dyDescent="0.45">
      <c r="B117" s="1">
        <v>107</v>
      </c>
      <c r="C117" s="9">
        <f>($F$11-$G$11)*COS(2*PI()*$J$11*$I$11*B117/$L$11)+($G$11/$H$11)*COS((($F$11-$G$11)/$G$11)*2*PI()*$I$11*B117/$L$11)</f>
        <v>1</v>
      </c>
      <c r="D117" s="9">
        <f>($F$11-$G$11)*SIN(2*PI()*$K$11*$I$11*B117/$L$11)-($G$11/$H$11)*SIN((($F$11-$G$11)/$G$11)*2*PI()*$I$11*B117/$L$11)</f>
        <v>0</v>
      </c>
    </row>
    <row r="118" spans="2:4" x14ac:dyDescent="0.45">
      <c r="B118" s="1">
        <v>108</v>
      </c>
      <c r="C118" s="9">
        <f>($F$11-$G$11)*COS(2*PI()*$J$11*$I$11*B118/$L$11)+($G$11/$H$11)*COS((($F$11-$G$11)/$G$11)*2*PI()*$I$11*B118/$L$11)</f>
        <v>1</v>
      </c>
      <c r="D118" s="9">
        <f>($F$11-$G$11)*SIN(2*PI()*$K$11*$I$11*B118/$L$11)-($G$11/$H$11)*SIN((($F$11-$G$11)/$G$11)*2*PI()*$I$11*B118/$L$11)</f>
        <v>0</v>
      </c>
    </row>
    <row r="119" spans="2:4" x14ac:dyDescent="0.45">
      <c r="B119" s="1">
        <v>109</v>
      </c>
      <c r="C119" s="9">
        <f>($F$11-$G$11)*COS(2*PI()*$J$11*$I$11*B119/$L$11)+($G$11/$H$11)*COS((($F$11-$G$11)/$G$11)*2*PI()*$I$11*B119/$L$11)</f>
        <v>1</v>
      </c>
      <c r="D119" s="9">
        <f>($F$11-$G$11)*SIN(2*PI()*$K$11*$I$11*B119/$L$11)-($G$11/$H$11)*SIN((($F$11-$G$11)/$G$11)*2*PI()*$I$11*B119/$L$11)</f>
        <v>0</v>
      </c>
    </row>
    <row r="120" spans="2:4" x14ac:dyDescent="0.45">
      <c r="B120" s="1">
        <v>110</v>
      </c>
      <c r="C120" s="9">
        <f>($F$11-$G$11)*COS(2*PI()*$J$11*$I$11*B120/$L$11)+($G$11/$H$11)*COS((($F$11-$G$11)/$G$11)*2*PI()*$I$11*B120/$L$11)</f>
        <v>1</v>
      </c>
      <c r="D120" s="9">
        <f>($F$11-$G$11)*SIN(2*PI()*$K$11*$I$11*B120/$L$11)-($G$11/$H$11)*SIN((($F$11-$G$11)/$G$11)*2*PI()*$I$11*B120/$L$11)</f>
        <v>0</v>
      </c>
    </row>
    <row r="121" spans="2:4" x14ac:dyDescent="0.45">
      <c r="B121" s="1">
        <v>111</v>
      </c>
      <c r="C121" s="9">
        <f>($F$11-$G$11)*COS(2*PI()*$J$11*$I$11*B121/$L$11)+($G$11/$H$11)*COS((($F$11-$G$11)/$G$11)*2*PI()*$I$11*B121/$L$11)</f>
        <v>1</v>
      </c>
      <c r="D121" s="9">
        <f>($F$11-$G$11)*SIN(2*PI()*$K$11*$I$11*B121/$L$11)-($G$11/$H$11)*SIN((($F$11-$G$11)/$G$11)*2*PI()*$I$11*B121/$L$11)</f>
        <v>0</v>
      </c>
    </row>
    <row r="122" spans="2:4" x14ac:dyDescent="0.45">
      <c r="B122" s="1">
        <v>112</v>
      </c>
      <c r="C122" s="9">
        <f>($F$11-$G$11)*COS(2*PI()*$J$11*$I$11*B122/$L$11)+($G$11/$H$11)*COS((($F$11-$G$11)/$G$11)*2*PI()*$I$11*B122/$L$11)</f>
        <v>1</v>
      </c>
      <c r="D122" s="9">
        <f>($F$11-$G$11)*SIN(2*PI()*$K$11*$I$11*B122/$L$11)-($G$11/$H$11)*SIN((($F$11-$G$11)/$G$11)*2*PI()*$I$11*B122/$L$11)</f>
        <v>0</v>
      </c>
    </row>
    <row r="123" spans="2:4" x14ac:dyDescent="0.45">
      <c r="B123" s="1">
        <v>113</v>
      </c>
      <c r="C123" s="9">
        <f>($F$11-$G$11)*COS(2*PI()*$J$11*$I$11*B123/$L$11)+($G$11/$H$11)*COS((($F$11-$G$11)/$G$11)*2*PI()*$I$11*B123/$L$11)</f>
        <v>1</v>
      </c>
      <c r="D123" s="9">
        <f>($F$11-$G$11)*SIN(2*PI()*$K$11*$I$11*B123/$L$11)-($G$11/$H$11)*SIN((($F$11-$G$11)/$G$11)*2*PI()*$I$11*B123/$L$11)</f>
        <v>0</v>
      </c>
    </row>
    <row r="124" spans="2:4" x14ac:dyDescent="0.45">
      <c r="B124" s="1">
        <v>114</v>
      </c>
      <c r="C124" s="9">
        <f>($F$11-$G$11)*COS(2*PI()*$J$11*$I$11*B124/$L$11)+($G$11/$H$11)*COS((($F$11-$G$11)/$G$11)*2*PI()*$I$11*B124/$L$11)</f>
        <v>1</v>
      </c>
      <c r="D124" s="9">
        <f>($F$11-$G$11)*SIN(2*PI()*$K$11*$I$11*B124/$L$11)-($G$11/$H$11)*SIN((($F$11-$G$11)/$G$11)*2*PI()*$I$11*B124/$L$11)</f>
        <v>0</v>
      </c>
    </row>
    <row r="125" spans="2:4" x14ac:dyDescent="0.45">
      <c r="B125" s="1">
        <v>115</v>
      </c>
      <c r="C125" s="9">
        <f>($F$11-$G$11)*COS(2*PI()*$J$11*$I$11*B125/$L$11)+($G$11/$H$11)*COS((($F$11-$G$11)/$G$11)*2*PI()*$I$11*B125/$L$11)</f>
        <v>1</v>
      </c>
      <c r="D125" s="9">
        <f>($F$11-$G$11)*SIN(2*PI()*$K$11*$I$11*B125/$L$11)-($G$11/$H$11)*SIN((($F$11-$G$11)/$G$11)*2*PI()*$I$11*B125/$L$11)</f>
        <v>0</v>
      </c>
    </row>
    <row r="126" spans="2:4" x14ac:dyDescent="0.45">
      <c r="B126" s="1">
        <v>116</v>
      </c>
      <c r="C126" s="9">
        <f>($F$11-$G$11)*COS(2*PI()*$J$11*$I$11*B126/$L$11)+($G$11/$H$11)*COS((($F$11-$G$11)/$G$11)*2*PI()*$I$11*B126/$L$11)</f>
        <v>1</v>
      </c>
      <c r="D126" s="9">
        <f>($F$11-$G$11)*SIN(2*PI()*$K$11*$I$11*B126/$L$11)-($G$11/$H$11)*SIN((($F$11-$G$11)/$G$11)*2*PI()*$I$11*B126/$L$11)</f>
        <v>0</v>
      </c>
    </row>
    <row r="127" spans="2:4" x14ac:dyDescent="0.45">
      <c r="B127" s="1">
        <v>117</v>
      </c>
      <c r="C127" s="9">
        <f>($F$11-$G$11)*COS(2*PI()*$J$11*$I$11*B127/$L$11)+($G$11/$H$11)*COS((($F$11-$G$11)/$G$11)*2*PI()*$I$11*B127/$L$11)</f>
        <v>1</v>
      </c>
      <c r="D127" s="9">
        <f>($F$11-$G$11)*SIN(2*PI()*$K$11*$I$11*B127/$L$11)-($G$11/$H$11)*SIN((($F$11-$G$11)/$G$11)*2*PI()*$I$11*B127/$L$11)</f>
        <v>0</v>
      </c>
    </row>
    <row r="128" spans="2:4" x14ac:dyDescent="0.45">
      <c r="B128" s="1">
        <v>118</v>
      </c>
      <c r="C128" s="9">
        <f>($F$11-$G$11)*COS(2*PI()*$J$11*$I$11*B128/$L$11)+($G$11/$H$11)*COS((($F$11-$G$11)/$G$11)*2*PI()*$I$11*B128/$L$11)</f>
        <v>1</v>
      </c>
      <c r="D128" s="9">
        <f>($F$11-$G$11)*SIN(2*PI()*$K$11*$I$11*B128/$L$11)-($G$11/$H$11)*SIN((($F$11-$G$11)/$G$11)*2*PI()*$I$11*B128/$L$11)</f>
        <v>0</v>
      </c>
    </row>
    <row r="129" spans="2:4" x14ac:dyDescent="0.45">
      <c r="B129" s="1">
        <v>119</v>
      </c>
      <c r="C129" s="9">
        <f>($F$11-$G$11)*COS(2*PI()*$J$11*$I$11*B129/$L$11)+($G$11/$H$11)*COS((($F$11-$G$11)/$G$11)*2*PI()*$I$11*B129/$L$11)</f>
        <v>1</v>
      </c>
      <c r="D129" s="9">
        <f>($F$11-$G$11)*SIN(2*PI()*$K$11*$I$11*B129/$L$11)-($G$11/$H$11)*SIN((($F$11-$G$11)/$G$11)*2*PI()*$I$11*B129/$L$11)</f>
        <v>0</v>
      </c>
    </row>
    <row r="130" spans="2:4" x14ac:dyDescent="0.45">
      <c r="B130" s="1">
        <v>120</v>
      </c>
      <c r="C130" s="9">
        <f>($F$11-$G$11)*COS(2*PI()*$J$11*$I$11*B130/$L$11)+($G$11/$H$11)*COS((($F$11-$G$11)/$G$11)*2*PI()*$I$11*B130/$L$11)</f>
        <v>1</v>
      </c>
      <c r="D130" s="9">
        <f>($F$11-$G$11)*SIN(2*PI()*$K$11*$I$11*B130/$L$11)-($G$11/$H$11)*SIN((($F$11-$G$11)/$G$11)*2*PI()*$I$11*B130/$L$11)</f>
        <v>0</v>
      </c>
    </row>
    <row r="131" spans="2:4" x14ac:dyDescent="0.45">
      <c r="B131" s="1">
        <v>121</v>
      </c>
      <c r="C131" s="9">
        <f>($F$11-$G$11)*COS(2*PI()*$J$11*$I$11*B131/$L$11)+($G$11/$H$11)*COS((($F$11-$G$11)/$G$11)*2*PI()*$I$11*B131/$L$11)</f>
        <v>1</v>
      </c>
      <c r="D131" s="9">
        <f>($F$11-$G$11)*SIN(2*PI()*$K$11*$I$11*B131/$L$11)-($G$11/$H$11)*SIN((($F$11-$G$11)/$G$11)*2*PI()*$I$11*B131/$L$11)</f>
        <v>0</v>
      </c>
    </row>
    <row r="132" spans="2:4" x14ac:dyDescent="0.45">
      <c r="B132" s="1">
        <v>122</v>
      </c>
      <c r="C132" s="9">
        <f>($F$11-$G$11)*COS(2*PI()*$J$11*$I$11*B132/$L$11)+($G$11/$H$11)*COS((($F$11-$G$11)/$G$11)*2*PI()*$I$11*B132/$L$11)</f>
        <v>1</v>
      </c>
      <c r="D132" s="9">
        <f>($F$11-$G$11)*SIN(2*PI()*$K$11*$I$11*B132/$L$11)-($G$11/$H$11)*SIN((($F$11-$G$11)/$G$11)*2*PI()*$I$11*B132/$L$11)</f>
        <v>0</v>
      </c>
    </row>
    <row r="133" spans="2:4" x14ac:dyDescent="0.45">
      <c r="B133" s="1">
        <v>123</v>
      </c>
      <c r="C133" s="9">
        <f>($F$11-$G$11)*COS(2*PI()*$J$11*$I$11*B133/$L$11)+($G$11/$H$11)*COS((($F$11-$G$11)/$G$11)*2*PI()*$I$11*B133/$L$11)</f>
        <v>1</v>
      </c>
      <c r="D133" s="9">
        <f>($F$11-$G$11)*SIN(2*PI()*$K$11*$I$11*B133/$L$11)-($G$11/$H$11)*SIN((($F$11-$G$11)/$G$11)*2*PI()*$I$11*B133/$L$11)</f>
        <v>0</v>
      </c>
    </row>
    <row r="134" spans="2:4" x14ac:dyDescent="0.45">
      <c r="B134" s="1">
        <v>124</v>
      </c>
      <c r="C134" s="9">
        <f>($F$11-$G$11)*COS(2*PI()*$J$11*$I$11*B134/$L$11)+($G$11/$H$11)*COS((($F$11-$G$11)/$G$11)*2*PI()*$I$11*B134/$L$11)</f>
        <v>1</v>
      </c>
      <c r="D134" s="9">
        <f>($F$11-$G$11)*SIN(2*PI()*$K$11*$I$11*B134/$L$11)-($G$11/$H$11)*SIN((($F$11-$G$11)/$G$11)*2*PI()*$I$11*B134/$L$11)</f>
        <v>0</v>
      </c>
    </row>
    <row r="135" spans="2:4" x14ac:dyDescent="0.45">
      <c r="B135" s="1">
        <v>125</v>
      </c>
      <c r="C135" s="9">
        <f>($F$11-$G$11)*COS(2*PI()*$J$11*$I$11*B135/$L$11)+($G$11/$H$11)*COS((($F$11-$G$11)/$G$11)*2*PI()*$I$11*B135/$L$11)</f>
        <v>1</v>
      </c>
      <c r="D135" s="9">
        <f>($F$11-$G$11)*SIN(2*PI()*$K$11*$I$11*B135/$L$11)-($G$11/$H$11)*SIN((($F$11-$G$11)/$G$11)*2*PI()*$I$11*B135/$L$11)</f>
        <v>0</v>
      </c>
    </row>
    <row r="136" spans="2:4" x14ac:dyDescent="0.45">
      <c r="B136" s="1">
        <v>126</v>
      </c>
      <c r="C136" s="9">
        <f>($F$11-$G$11)*COS(2*PI()*$J$11*$I$11*B136/$L$11)+($G$11/$H$11)*COS((($F$11-$G$11)/$G$11)*2*PI()*$I$11*B136/$L$11)</f>
        <v>1</v>
      </c>
      <c r="D136" s="9">
        <f>($F$11-$G$11)*SIN(2*PI()*$K$11*$I$11*B136/$L$11)-($G$11/$H$11)*SIN((($F$11-$G$11)/$G$11)*2*PI()*$I$11*B136/$L$11)</f>
        <v>0</v>
      </c>
    </row>
    <row r="137" spans="2:4" x14ac:dyDescent="0.45">
      <c r="B137" s="1">
        <v>127</v>
      </c>
      <c r="C137" s="9">
        <f>($F$11-$G$11)*COS(2*PI()*$J$11*$I$11*B137/$L$11)+($G$11/$H$11)*COS((($F$11-$G$11)/$G$11)*2*PI()*$I$11*B137/$L$11)</f>
        <v>1</v>
      </c>
      <c r="D137" s="9">
        <f>($F$11-$G$11)*SIN(2*PI()*$K$11*$I$11*B137/$L$11)-($G$11/$H$11)*SIN((($F$11-$G$11)/$G$11)*2*PI()*$I$11*B137/$L$11)</f>
        <v>0</v>
      </c>
    </row>
    <row r="138" spans="2:4" x14ac:dyDescent="0.45">
      <c r="B138" s="1">
        <v>128</v>
      </c>
      <c r="C138" s="9">
        <f>($F$11-$G$11)*COS(2*PI()*$J$11*$I$11*B138/$L$11)+($G$11/$H$11)*COS((($F$11-$G$11)/$G$11)*2*PI()*$I$11*B138/$L$11)</f>
        <v>1</v>
      </c>
      <c r="D138" s="9">
        <f>($F$11-$G$11)*SIN(2*PI()*$K$11*$I$11*B138/$L$11)-($G$11/$H$11)*SIN((($F$11-$G$11)/$G$11)*2*PI()*$I$11*B138/$L$11)</f>
        <v>0</v>
      </c>
    </row>
    <row r="139" spans="2:4" x14ac:dyDescent="0.45">
      <c r="B139" s="1">
        <v>129</v>
      </c>
      <c r="C139" s="9">
        <f>($F$11-$G$11)*COS(2*PI()*$J$11*$I$11*B139/$L$11)+($G$11/$H$11)*COS((($F$11-$G$11)/$G$11)*2*PI()*$I$11*B139/$L$11)</f>
        <v>1</v>
      </c>
      <c r="D139" s="9">
        <f>($F$11-$G$11)*SIN(2*PI()*$K$11*$I$11*B139/$L$11)-($G$11/$H$11)*SIN((($F$11-$G$11)/$G$11)*2*PI()*$I$11*B139/$L$11)</f>
        <v>0</v>
      </c>
    </row>
    <row r="140" spans="2:4" x14ac:dyDescent="0.45">
      <c r="B140" s="1">
        <v>130</v>
      </c>
      <c r="C140" s="9">
        <f>($F$11-$G$11)*COS(2*PI()*$J$11*$I$11*B140/$L$11)+($G$11/$H$11)*COS((($F$11-$G$11)/$G$11)*2*PI()*$I$11*B140/$L$11)</f>
        <v>1</v>
      </c>
      <c r="D140" s="9">
        <f>($F$11-$G$11)*SIN(2*PI()*$K$11*$I$11*B140/$L$11)-($G$11/$H$11)*SIN((($F$11-$G$11)/$G$11)*2*PI()*$I$11*B140/$L$11)</f>
        <v>0</v>
      </c>
    </row>
    <row r="141" spans="2:4" x14ac:dyDescent="0.45">
      <c r="B141" s="1">
        <v>131</v>
      </c>
      <c r="C141" s="9">
        <f>($F$11-$G$11)*COS(2*PI()*$J$11*$I$11*B141/$L$11)+($G$11/$H$11)*COS((($F$11-$G$11)/$G$11)*2*PI()*$I$11*B141/$L$11)</f>
        <v>1</v>
      </c>
      <c r="D141" s="9">
        <f>($F$11-$G$11)*SIN(2*PI()*$K$11*$I$11*B141/$L$11)-($G$11/$H$11)*SIN((($F$11-$G$11)/$G$11)*2*PI()*$I$11*B141/$L$11)</f>
        <v>0</v>
      </c>
    </row>
    <row r="142" spans="2:4" x14ac:dyDescent="0.45">
      <c r="B142" s="1">
        <v>132</v>
      </c>
      <c r="C142" s="9">
        <f>($F$11-$G$11)*COS(2*PI()*$J$11*$I$11*B142/$L$11)+($G$11/$H$11)*COS((($F$11-$G$11)/$G$11)*2*PI()*$I$11*B142/$L$11)</f>
        <v>1</v>
      </c>
      <c r="D142" s="9">
        <f>($F$11-$G$11)*SIN(2*PI()*$K$11*$I$11*B142/$L$11)-($G$11/$H$11)*SIN((($F$11-$G$11)/$G$11)*2*PI()*$I$11*B142/$L$11)</f>
        <v>0</v>
      </c>
    </row>
    <row r="143" spans="2:4" x14ac:dyDescent="0.45">
      <c r="B143" s="1">
        <v>133</v>
      </c>
      <c r="C143" s="9">
        <f>($F$11-$G$11)*COS(2*PI()*$J$11*$I$11*B143/$L$11)+($G$11/$H$11)*COS((($F$11-$G$11)/$G$11)*2*PI()*$I$11*B143/$L$11)</f>
        <v>1</v>
      </c>
      <c r="D143" s="9">
        <f>($F$11-$G$11)*SIN(2*PI()*$K$11*$I$11*B143/$L$11)-($G$11/$H$11)*SIN((($F$11-$G$11)/$G$11)*2*PI()*$I$11*B143/$L$11)</f>
        <v>0</v>
      </c>
    </row>
    <row r="144" spans="2:4" x14ac:dyDescent="0.45">
      <c r="B144" s="1">
        <v>134</v>
      </c>
      <c r="C144" s="9">
        <f>($F$11-$G$11)*COS(2*PI()*$J$11*$I$11*B144/$L$11)+($G$11/$H$11)*COS((($F$11-$G$11)/$G$11)*2*PI()*$I$11*B144/$L$11)</f>
        <v>1</v>
      </c>
      <c r="D144" s="9">
        <f>($F$11-$G$11)*SIN(2*PI()*$K$11*$I$11*B144/$L$11)-($G$11/$H$11)*SIN((($F$11-$G$11)/$G$11)*2*PI()*$I$11*B144/$L$11)</f>
        <v>0</v>
      </c>
    </row>
    <row r="145" spans="2:4" x14ac:dyDescent="0.45">
      <c r="B145" s="1">
        <v>135</v>
      </c>
      <c r="C145" s="9">
        <f>($F$11-$G$11)*COS(2*PI()*$J$11*$I$11*B145/$L$11)+($G$11/$H$11)*COS((($F$11-$G$11)/$G$11)*2*PI()*$I$11*B145/$L$11)</f>
        <v>1</v>
      </c>
      <c r="D145" s="9">
        <f>($F$11-$G$11)*SIN(2*PI()*$K$11*$I$11*B145/$L$11)-($G$11/$H$11)*SIN((($F$11-$G$11)/$G$11)*2*PI()*$I$11*B145/$L$11)</f>
        <v>0</v>
      </c>
    </row>
    <row r="146" spans="2:4" x14ac:dyDescent="0.45">
      <c r="B146" s="1">
        <v>136</v>
      </c>
      <c r="C146" s="9">
        <f>($F$11-$G$11)*COS(2*PI()*$J$11*$I$11*B146/$L$11)+($G$11/$H$11)*COS((($F$11-$G$11)/$G$11)*2*PI()*$I$11*B146/$L$11)</f>
        <v>1</v>
      </c>
      <c r="D146" s="9">
        <f>($F$11-$G$11)*SIN(2*PI()*$K$11*$I$11*B146/$L$11)-($G$11/$H$11)*SIN((($F$11-$G$11)/$G$11)*2*PI()*$I$11*B146/$L$11)</f>
        <v>0</v>
      </c>
    </row>
    <row r="147" spans="2:4" x14ac:dyDescent="0.45">
      <c r="B147" s="1">
        <v>137</v>
      </c>
      <c r="C147" s="9">
        <f>($F$11-$G$11)*COS(2*PI()*$J$11*$I$11*B147/$L$11)+($G$11/$H$11)*COS((($F$11-$G$11)/$G$11)*2*PI()*$I$11*B147/$L$11)</f>
        <v>1</v>
      </c>
      <c r="D147" s="9">
        <f>($F$11-$G$11)*SIN(2*PI()*$K$11*$I$11*B147/$L$11)-($G$11/$H$11)*SIN((($F$11-$G$11)/$G$11)*2*PI()*$I$11*B147/$L$11)</f>
        <v>0</v>
      </c>
    </row>
    <row r="148" spans="2:4" x14ac:dyDescent="0.45">
      <c r="B148" s="1">
        <v>138</v>
      </c>
      <c r="C148" s="9">
        <f>($F$11-$G$11)*COS(2*PI()*$J$11*$I$11*B148/$L$11)+($G$11/$H$11)*COS((($F$11-$G$11)/$G$11)*2*PI()*$I$11*B148/$L$11)</f>
        <v>1</v>
      </c>
      <c r="D148" s="9">
        <f>($F$11-$G$11)*SIN(2*PI()*$K$11*$I$11*B148/$L$11)-($G$11/$H$11)*SIN((($F$11-$G$11)/$G$11)*2*PI()*$I$11*B148/$L$11)</f>
        <v>0</v>
      </c>
    </row>
    <row r="149" spans="2:4" x14ac:dyDescent="0.45">
      <c r="B149" s="1">
        <v>139</v>
      </c>
      <c r="C149" s="9">
        <f>($F$11-$G$11)*COS(2*PI()*$J$11*$I$11*B149/$L$11)+($G$11/$H$11)*COS((($F$11-$G$11)/$G$11)*2*PI()*$I$11*B149/$L$11)</f>
        <v>1</v>
      </c>
      <c r="D149" s="9">
        <f>($F$11-$G$11)*SIN(2*PI()*$K$11*$I$11*B149/$L$11)-($G$11/$H$11)*SIN((($F$11-$G$11)/$G$11)*2*PI()*$I$11*B149/$L$11)</f>
        <v>0</v>
      </c>
    </row>
    <row r="150" spans="2:4" x14ac:dyDescent="0.45">
      <c r="B150" s="1">
        <v>140</v>
      </c>
      <c r="C150" s="9">
        <f>($F$11-$G$11)*COS(2*PI()*$J$11*$I$11*B150/$L$11)+($G$11/$H$11)*COS((($F$11-$G$11)/$G$11)*2*PI()*$I$11*B150/$L$11)</f>
        <v>1</v>
      </c>
      <c r="D150" s="9">
        <f>($F$11-$G$11)*SIN(2*PI()*$K$11*$I$11*B150/$L$11)-($G$11/$H$11)*SIN((($F$11-$G$11)/$G$11)*2*PI()*$I$11*B150/$L$11)</f>
        <v>0</v>
      </c>
    </row>
    <row r="151" spans="2:4" x14ac:dyDescent="0.45">
      <c r="B151" s="1">
        <v>141</v>
      </c>
      <c r="C151" s="9">
        <f>($F$11-$G$11)*COS(2*PI()*$J$11*$I$11*B151/$L$11)+($G$11/$H$11)*COS((($F$11-$G$11)/$G$11)*2*PI()*$I$11*B151/$L$11)</f>
        <v>1</v>
      </c>
      <c r="D151" s="9">
        <f>($F$11-$G$11)*SIN(2*PI()*$K$11*$I$11*B151/$L$11)-($G$11/$H$11)*SIN((($F$11-$G$11)/$G$11)*2*PI()*$I$11*B151/$L$11)</f>
        <v>0</v>
      </c>
    </row>
    <row r="152" spans="2:4" x14ac:dyDescent="0.45">
      <c r="B152" s="1">
        <v>142</v>
      </c>
      <c r="C152" s="9">
        <f>($F$11-$G$11)*COS(2*PI()*$J$11*$I$11*B152/$L$11)+($G$11/$H$11)*COS((($F$11-$G$11)/$G$11)*2*PI()*$I$11*B152/$L$11)</f>
        <v>1</v>
      </c>
      <c r="D152" s="9">
        <f>($F$11-$G$11)*SIN(2*PI()*$K$11*$I$11*B152/$L$11)-($G$11/$H$11)*SIN((($F$11-$G$11)/$G$11)*2*PI()*$I$11*B152/$L$11)</f>
        <v>0</v>
      </c>
    </row>
    <row r="153" spans="2:4" x14ac:dyDescent="0.45">
      <c r="B153" s="1">
        <v>143</v>
      </c>
      <c r="C153" s="9">
        <f>($F$11-$G$11)*COS(2*PI()*$J$11*$I$11*B153/$L$11)+($G$11/$H$11)*COS((($F$11-$G$11)/$G$11)*2*PI()*$I$11*B153/$L$11)</f>
        <v>1</v>
      </c>
      <c r="D153" s="9">
        <f>($F$11-$G$11)*SIN(2*PI()*$K$11*$I$11*B153/$L$11)-($G$11/$H$11)*SIN((($F$11-$G$11)/$G$11)*2*PI()*$I$11*B153/$L$11)</f>
        <v>0</v>
      </c>
    </row>
    <row r="154" spans="2:4" x14ac:dyDescent="0.45">
      <c r="B154" s="1">
        <v>144</v>
      </c>
      <c r="C154" s="9">
        <f>($F$11-$G$11)*COS(2*PI()*$J$11*$I$11*B154/$L$11)+($G$11/$H$11)*COS((($F$11-$G$11)/$G$11)*2*PI()*$I$11*B154/$L$11)</f>
        <v>1</v>
      </c>
      <c r="D154" s="9">
        <f>($F$11-$G$11)*SIN(2*PI()*$K$11*$I$11*B154/$L$11)-($G$11/$H$11)*SIN((($F$11-$G$11)/$G$11)*2*PI()*$I$11*B154/$L$11)</f>
        <v>0</v>
      </c>
    </row>
    <row r="155" spans="2:4" x14ac:dyDescent="0.45">
      <c r="B155" s="1">
        <v>145</v>
      </c>
      <c r="C155" s="9">
        <f>($F$11-$G$11)*COS(2*PI()*$J$11*$I$11*B155/$L$11)+($G$11/$H$11)*COS((($F$11-$G$11)/$G$11)*2*PI()*$I$11*B155/$L$11)</f>
        <v>1</v>
      </c>
      <c r="D155" s="9">
        <f>($F$11-$G$11)*SIN(2*PI()*$K$11*$I$11*B155/$L$11)-($G$11/$H$11)*SIN((($F$11-$G$11)/$G$11)*2*PI()*$I$11*B155/$L$11)</f>
        <v>0</v>
      </c>
    </row>
    <row r="156" spans="2:4" x14ac:dyDescent="0.45">
      <c r="B156" s="1">
        <v>146</v>
      </c>
      <c r="C156" s="9">
        <f>($F$11-$G$11)*COS(2*PI()*$J$11*$I$11*B156/$L$11)+($G$11/$H$11)*COS((($F$11-$G$11)/$G$11)*2*PI()*$I$11*B156/$L$11)</f>
        <v>1</v>
      </c>
      <c r="D156" s="9">
        <f>($F$11-$G$11)*SIN(2*PI()*$K$11*$I$11*B156/$L$11)-($G$11/$H$11)*SIN((($F$11-$G$11)/$G$11)*2*PI()*$I$11*B156/$L$11)</f>
        <v>0</v>
      </c>
    </row>
    <row r="157" spans="2:4" x14ac:dyDescent="0.45">
      <c r="B157" s="1">
        <v>147</v>
      </c>
      <c r="C157" s="9">
        <f>($F$11-$G$11)*COS(2*PI()*$J$11*$I$11*B157/$L$11)+($G$11/$H$11)*COS((($F$11-$G$11)/$G$11)*2*PI()*$I$11*B157/$L$11)</f>
        <v>1</v>
      </c>
      <c r="D157" s="9">
        <f>($F$11-$G$11)*SIN(2*PI()*$K$11*$I$11*B157/$L$11)-($G$11/$H$11)*SIN((($F$11-$G$11)/$G$11)*2*PI()*$I$11*B157/$L$11)</f>
        <v>0</v>
      </c>
    </row>
    <row r="158" spans="2:4" x14ac:dyDescent="0.45">
      <c r="B158" s="1">
        <v>148</v>
      </c>
      <c r="C158" s="9">
        <f>($F$11-$G$11)*COS(2*PI()*$J$11*$I$11*B158/$L$11)+($G$11/$H$11)*COS((($F$11-$G$11)/$G$11)*2*PI()*$I$11*B158/$L$11)</f>
        <v>1</v>
      </c>
      <c r="D158" s="9">
        <f>($F$11-$G$11)*SIN(2*PI()*$K$11*$I$11*B158/$L$11)-($G$11/$H$11)*SIN((($F$11-$G$11)/$G$11)*2*PI()*$I$11*B158/$L$11)</f>
        <v>0</v>
      </c>
    </row>
    <row r="159" spans="2:4" x14ac:dyDescent="0.45">
      <c r="B159" s="1">
        <v>149</v>
      </c>
      <c r="C159" s="9">
        <f>($F$11-$G$11)*COS(2*PI()*$J$11*$I$11*B159/$L$11)+($G$11/$H$11)*COS((($F$11-$G$11)/$G$11)*2*PI()*$I$11*B159/$L$11)</f>
        <v>1</v>
      </c>
      <c r="D159" s="9">
        <f>($F$11-$G$11)*SIN(2*PI()*$K$11*$I$11*B159/$L$11)-($G$11/$H$11)*SIN((($F$11-$G$11)/$G$11)*2*PI()*$I$11*B159/$L$11)</f>
        <v>0</v>
      </c>
    </row>
    <row r="160" spans="2:4" x14ac:dyDescent="0.45">
      <c r="B160" s="1">
        <v>150</v>
      </c>
      <c r="C160" s="9">
        <f>($F$11-$G$11)*COS(2*PI()*$J$11*$I$11*B160/$L$11)+($G$11/$H$11)*COS((($F$11-$G$11)/$G$11)*2*PI()*$I$11*B160/$L$11)</f>
        <v>1</v>
      </c>
      <c r="D160" s="9">
        <f>($F$11-$G$11)*SIN(2*PI()*$K$11*$I$11*B160/$L$11)-($G$11/$H$11)*SIN((($F$11-$G$11)/$G$11)*2*PI()*$I$11*B160/$L$11)</f>
        <v>0</v>
      </c>
    </row>
    <row r="161" spans="2:4" x14ac:dyDescent="0.45">
      <c r="B161" s="1">
        <v>151</v>
      </c>
      <c r="C161" s="9">
        <f>($F$11-$G$11)*COS(2*PI()*$J$11*$I$11*B161/$L$11)+($G$11/$H$11)*COS((($F$11-$G$11)/$G$11)*2*PI()*$I$11*B161/$L$11)</f>
        <v>1</v>
      </c>
      <c r="D161" s="9">
        <f>($F$11-$G$11)*SIN(2*PI()*$K$11*$I$11*B161/$L$11)-($G$11/$H$11)*SIN((($F$11-$G$11)/$G$11)*2*PI()*$I$11*B161/$L$11)</f>
        <v>0</v>
      </c>
    </row>
    <row r="162" spans="2:4" x14ac:dyDescent="0.45">
      <c r="B162" s="1">
        <v>152</v>
      </c>
      <c r="C162" s="9">
        <f>($F$11-$G$11)*COS(2*PI()*$J$11*$I$11*B162/$L$11)+($G$11/$H$11)*COS((($F$11-$G$11)/$G$11)*2*PI()*$I$11*B162/$L$11)</f>
        <v>1</v>
      </c>
      <c r="D162" s="9">
        <f>($F$11-$G$11)*SIN(2*PI()*$K$11*$I$11*B162/$L$11)-($G$11/$H$11)*SIN((($F$11-$G$11)/$G$11)*2*PI()*$I$11*B162/$L$11)</f>
        <v>0</v>
      </c>
    </row>
    <row r="163" spans="2:4" x14ac:dyDescent="0.45">
      <c r="B163" s="1">
        <v>153</v>
      </c>
      <c r="C163" s="9">
        <f>($F$11-$G$11)*COS(2*PI()*$J$11*$I$11*B163/$L$11)+($G$11/$H$11)*COS((($F$11-$G$11)/$G$11)*2*PI()*$I$11*B163/$L$11)</f>
        <v>1</v>
      </c>
      <c r="D163" s="9">
        <f>($F$11-$G$11)*SIN(2*PI()*$K$11*$I$11*B163/$L$11)-($G$11/$H$11)*SIN((($F$11-$G$11)/$G$11)*2*PI()*$I$11*B163/$L$11)</f>
        <v>0</v>
      </c>
    </row>
    <row r="164" spans="2:4" x14ac:dyDescent="0.45">
      <c r="B164" s="1">
        <v>154</v>
      </c>
      <c r="C164" s="9">
        <f>($F$11-$G$11)*COS(2*PI()*$J$11*$I$11*B164/$L$11)+($G$11/$H$11)*COS((($F$11-$G$11)/$G$11)*2*PI()*$I$11*B164/$L$11)</f>
        <v>1</v>
      </c>
      <c r="D164" s="9">
        <f>($F$11-$G$11)*SIN(2*PI()*$K$11*$I$11*B164/$L$11)-($G$11/$H$11)*SIN((($F$11-$G$11)/$G$11)*2*PI()*$I$11*B164/$L$11)</f>
        <v>0</v>
      </c>
    </row>
    <row r="165" spans="2:4" x14ac:dyDescent="0.45">
      <c r="B165" s="1">
        <v>155</v>
      </c>
      <c r="C165" s="9">
        <f>($F$11-$G$11)*COS(2*PI()*$J$11*$I$11*B165/$L$11)+($G$11/$H$11)*COS((($F$11-$G$11)/$G$11)*2*PI()*$I$11*B165/$L$11)</f>
        <v>1</v>
      </c>
      <c r="D165" s="9">
        <f>($F$11-$G$11)*SIN(2*PI()*$K$11*$I$11*B165/$L$11)-($G$11/$H$11)*SIN((($F$11-$G$11)/$G$11)*2*PI()*$I$11*B165/$L$11)</f>
        <v>0</v>
      </c>
    </row>
    <row r="166" spans="2:4" x14ac:dyDescent="0.45">
      <c r="B166" s="1">
        <v>156</v>
      </c>
      <c r="C166" s="9">
        <f>($F$11-$G$11)*COS(2*PI()*$J$11*$I$11*B166/$L$11)+($G$11/$H$11)*COS((($F$11-$G$11)/$G$11)*2*PI()*$I$11*B166/$L$11)</f>
        <v>1</v>
      </c>
      <c r="D166" s="9">
        <f>($F$11-$G$11)*SIN(2*PI()*$K$11*$I$11*B166/$L$11)-($G$11/$H$11)*SIN((($F$11-$G$11)/$G$11)*2*PI()*$I$11*B166/$L$11)</f>
        <v>0</v>
      </c>
    </row>
    <row r="167" spans="2:4" x14ac:dyDescent="0.45">
      <c r="B167" s="1">
        <v>157</v>
      </c>
      <c r="C167" s="9">
        <f>($F$11-$G$11)*COS(2*PI()*$J$11*$I$11*B167/$L$11)+($G$11/$H$11)*COS((($F$11-$G$11)/$G$11)*2*PI()*$I$11*B167/$L$11)</f>
        <v>1</v>
      </c>
      <c r="D167" s="9">
        <f>($F$11-$G$11)*SIN(2*PI()*$K$11*$I$11*B167/$L$11)-($G$11/$H$11)*SIN((($F$11-$G$11)/$G$11)*2*PI()*$I$11*B167/$L$11)</f>
        <v>0</v>
      </c>
    </row>
    <row r="168" spans="2:4" x14ac:dyDescent="0.45">
      <c r="B168" s="1">
        <v>158</v>
      </c>
      <c r="C168" s="9">
        <f>($F$11-$G$11)*COS(2*PI()*$J$11*$I$11*B168/$L$11)+($G$11/$H$11)*COS((($F$11-$G$11)/$G$11)*2*PI()*$I$11*B168/$L$11)</f>
        <v>1</v>
      </c>
      <c r="D168" s="9">
        <f>($F$11-$G$11)*SIN(2*PI()*$K$11*$I$11*B168/$L$11)-($G$11/$H$11)*SIN((($F$11-$G$11)/$G$11)*2*PI()*$I$11*B168/$L$11)</f>
        <v>0</v>
      </c>
    </row>
    <row r="169" spans="2:4" x14ac:dyDescent="0.45">
      <c r="B169" s="1">
        <v>159</v>
      </c>
      <c r="C169" s="9">
        <f>($F$11-$G$11)*COS(2*PI()*$J$11*$I$11*B169/$L$11)+($G$11/$H$11)*COS((($F$11-$G$11)/$G$11)*2*PI()*$I$11*B169/$L$11)</f>
        <v>1</v>
      </c>
      <c r="D169" s="9">
        <f>($F$11-$G$11)*SIN(2*PI()*$K$11*$I$11*B169/$L$11)-($G$11/$H$11)*SIN((($F$11-$G$11)/$G$11)*2*PI()*$I$11*B169/$L$11)</f>
        <v>0</v>
      </c>
    </row>
    <row r="170" spans="2:4" x14ac:dyDescent="0.45">
      <c r="B170" s="1">
        <v>160</v>
      </c>
      <c r="C170" s="9">
        <f>($F$11-$G$11)*COS(2*PI()*$J$11*$I$11*B170/$L$11)+($G$11/$H$11)*COS((($F$11-$G$11)/$G$11)*2*PI()*$I$11*B170/$L$11)</f>
        <v>1</v>
      </c>
      <c r="D170" s="9">
        <f>($F$11-$G$11)*SIN(2*PI()*$K$11*$I$11*B170/$L$11)-($G$11/$H$11)*SIN((($F$11-$G$11)/$G$11)*2*PI()*$I$11*B170/$L$11)</f>
        <v>0</v>
      </c>
    </row>
    <row r="171" spans="2:4" x14ac:dyDescent="0.45">
      <c r="B171" s="1">
        <v>161</v>
      </c>
      <c r="C171" s="9">
        <f>($F$11-$G$11)*COS(2*PI()*$J$11*$I$11*B171/$L$11)+($G$11/$H$11)*COS((($F$11-$G$11)/$G$11)*2*PI()*$I$11*B171/$L$11)</f>
        <v>1</v>
      </c>
      <c r="D171" s="9">
        <f>($F$11-$G$11)*SIN(2*PI()*$K$11*$I$11*B171/$L$11)-($G$11/$H$11)*SIN((($F$11-$G$11)/$G$11)*2*PI()*$I$11*B171/$L$11)</f>
        <v>0</v>
      </c>
    </row>
    <row r="172" spans="2:4" x14ac:dyDescent="0.45">
      <c r="B172" s="1">
        <v>162</v>
      </c>
      <c r="C172" s="9">
        <f>($F$11-$G$11)*COS(2*PI()*$J$11*$I$11*B172/$L$11)+($G$11/$H$11)*COS((($F$11-$G$11)/$G$11)*2*PI()*$I$11*B172/$L$11)</f>
        <v>1</v>
      </c>
      <c r="D172" s="9">
        <f>($F$11-$G$11)*SIN(2*PI()*$K$11*$I$11*B172/$L$11)-($G$11/$H$11)*SIN((($F$11-$G$11)/$G$11)*2*PI()*$I$11*B172/$L$11)</f>
        <v>0</v>
      </c>
    </row>
    <row r="173" spans="2:4" x14ac:dyDescent="0.45">
      <c r="B173" s="1">
        <v>163</v>
      </c>
      <c r="C173" s="9">
        <f>($F$11-$G$11)*COS(2*PI()*$J$11*$I$11*B173/$L$11)+($G$11/$H$11)*COS((($F$11-$G$11)/$G$11)*2*PI()*$I$11*B173/$L$11)</f>
        <v>1</v>
      </c>
      <c r="D173" s="9">
        <f>($F$11-$G$11)*SIN(2*PI()*$K$11*$I$11*B173/$L$11)-($G$11/$H$11)*SIN((($F$11-$G$11)/$G$11)*2*PI()*$I$11*B173/$L$11)</f>
        <v>0</v>
      </c>
    </row>
    <row r="174" spans="2:4" x14ac:dyDescent="0.45">
      <c r="B174" s="1">
        <v>164</v>
      </c>
      <c r="C174" s="9">
        <f>($F$11-$G$11)*COS(2*PI()*$J$11*$I$11*B174/$L$11)+($G$11/$H$11)*COS((($F$11-$G$11)/$G$11)*2*PI()*$I$11*B174/$L$11)</f>
        <v>1</v>
      </c>
      <c r="D174" s="9">
        <f>($F$11-$G$11)*SIN(2*PI()*$K$11*$I$11*B174/$L$11)-($G$11/$H$11)*SIN((($F$11-$G$11)/$G$11)*2*PI()*$I$11*B174/$L$11)</f>
        <v>0</v>
      </c>
    </row>
    <row r="175" spans="2:4" x14ac:dyDescent="0.45">
      <c r="B175" s="1">
        <v>165</v>
      </c>
      <c r="C175" s="9">
        <f>($F$11-$G$11)*COS(2*PI()*$J$11*$I$11*B175/$L$11)+($G$11/$H$11)*COS((($F$11-$G$11)/$G$11)*2*PI()*$I$11*B175/$L$11)</f>
        <v>1</v>
      </c>
      <c r="D175" s="9">
        <f>($F$11-$G$11)*SIN(2*PI()*$K$11*$I$11*B175/$L$11)-($G$11/$H$11)*SIN((($F$11-$G$11)/$G$11)*2*PI()*$I$11*B175/$L$11)</f>
        <v>0</v>
      </c>
    </row>
    <row r="176" spans="2:4" x14ac:dyDescent="0.45">
      <c r="B176" s="1">
        <v>166</v>
      </c>
      <c r="C176" s="9">
        <f>($F$11-$G$11)*COS(2*PI()*$J$11*$I$11*B176/$L$11)+($G$11/$H$11)*COS((($F$11-$G$11)/$G$11)*2*PI()*$I$11*B176/$L$11)</f>
        <v>1</v>
      </c>
      <c r="D176" s="9">
        <f>($F$11-$G$11)*SIN(2*PI()*$K$11*$I$11*B176/$L$11)-($G$11/$H$11)*SIN((($F$11-$G$11)/$G$11)*2*PI()*$I$11*B176/$L$11)</f>
        <v>0</v>
      </c>
    </row>
    <row r="177" spans="2:4" x14ac:dyDescent="0.45">
      <c r="B177" s="1">
        <v>167</v>
      </c>
      <c r="C177" s="9">
        <f>($F$11-$G$11)*COS(2*PI()*$J$11*$I$11*B177/$L$11)+($G$11/$H$11)*COS((($F$11-$G$11)/$G$11)*2*PI()*$I$11*B177/$L$11)</f>
        <v>1</v>
      </c>
      <c r="D177" s="9">
        <f>($F$11-$G$11)*SIN(2*PI()*$K$11*$I$11*B177/$L$11)-($G$11/$H$11)*SIN((($F$11-$G$11)/$G$11)*2*PI()*$I$11*B177/$L$11)</f>
        <v>0</v>
      </c>
    </row>
    <row r="178" spans="2:4" x14ac:dyDescent="0.45">
      <c r="B178" s="1">
        <v>168</v>
      </c>
      <c r="C178" s="9">
        <f>($F$11-$G$11)*COS(2*PI()*$J$11*$I$11*B178/$L$11)+($G$11/$H$11)*COS((($F$11-$G$11)/$G$11)*2*PI()*$I$11*B178/$L$11)</f>
        <v>1</v>
      </c>
      <c r="D178" s="9">
        <f>($F$11-$G$11)*SIN(2*PI()*$K$11*$I$11*B178/$L$11)-($G$11/$H$11)*SIN((($F$11-$G$11)/$G$11)*2*PI()*$I$11*B178/$L$11)</f>
        <v>0</v>
      </c>
    </row>
    <row r="179" spans="2:4" x14ac:dyDescent="0.45">
      <c r="B179" s="1">
        <v>169</v>
      </c>
      <c r="C179" s="9">
        <f>($F$11-$G$11)*COS(2*PI()*$J$11*$I$11*B179/$L$11)+($G$11/$H$11)*COS((($F$11-$G$11)/$G$11)*2*PI()*$I$11*B179/$L$11)</f>
        <v>1</v>
      </c>
      <c r="D179" s="9">
        <f>($F$11-$G$11)*SIN(2*PI()*$K$11*$I$11*B179/$L$11)-($G$11/$H$11)*SIN((($F$11-$G$11)/$G$11)*2*PI()*$I$11*B179/$L$11)</f>
        <v>0</v>
      </c>
    </row>
    <row r="180" spans="2:4" x14ac:dyDescent="0.45">
      <c r="B180" s="1">
        <v>170</v>
      </c>
      <c r="C180" s="9">
        <f>($F$11-$G$11)*COS(2*PI()*$J$11*$I$11*B180/$L$11)+($G$11/$H$11)*COS((($F$11-$G$11)/$G$11)*2*PI()*$I$11*B180/$L$11)</f>
        <v>1</v>
      </c>
      <c r="D180" s="9">
        <f>($F$11-$G$11)*SIN(2*PI()*$K$11*$I$11*B180/$L$11)-($G$11/$H$11)*SIN((($F$11-$G$11)/$G$11)*2*PI()*$I$11*B180/$L$11)</f>
        <v>0</v>
      </c>
    </row>
    <row r="181" spans="2:4" x14ac:dyDescent="0.45">
      <c r="B181" s="1">
        <v>171</v>
      </c>
      <c r="C181" s="9">
        <f>($F$11-$G$11)*COS(2*PI()*$J$11*$I$11*B181/$L$11)+($G$11/$H$11)*COS((($F$11-$G$11)/$G$11)*2*PI()*$I$11*B181/$L$11)</f>
        <v>1</v>
      </c>
      <c r="D181" s="9">
        <f>($F$11-$G$11)*SIN(2*PI()*$K$11*$I$11*B181/$L$11)-($G$11/$H$11)*SIN((($F$11-$G$11)/$G$11)*2*PI()*$I$11*B181/$L$11)</f>
        <v>0</v>
      </c>
    </row>
    <row r="182" spans="2:4" x14ac:dyDescent="0.45">
      <c r="B182" s="1">
        <v>172</v>
      </c>
      <c r="C182" s="9">
        <f>($F$11-$G$11)*COS(2*PI()*$J$11*$I$11*B182/$L$11)+($G$11/$H$11)*COS((($F$11-$G$11)/$G$11)*2*PI()*$I$11*B182/$L$11)</f>
        <v>1</v>
      </c>
      <c r="D182" s="9">
        <f>($F$11-$G$11)*SIN(2*PI()*$K$11*$I$11*B182/$L$11)-($G$11/$H$11)*SIN((($F$11-$G$11)/$G$11)*2*PI()*$I$11*B182/$L$11)</f>
        <v>0</v>
      </c>
    </row>
    <row r="183" spans="2:4" x14ac:dyDescent="0.45">
      <c r="B183" s="1">
        <v>173</v>
      </c>
      <c r="C183" s="9">
        <f>($F$11-$G$11)*COS(2*PI()*$J$11*$I$11*B183/$L$11)+($G$11/$H$11)*COS((($F$11-$G$11)/$G$11)*2*PI()*$I$11*B183/$L$11)</f>
        <v>1</v>
      </c>
      <c r="D183" s="9">
        <f>($F$11-$G$11)*SIN(2*PI()*$K$11*$I$11*B183/$L$11)-($G$11/$H$11)*SIN((($F$11-$G$11)/$G$11)*2*PI()*$I$11*B183/$L$11)</f>
        <v>0</v>
      </c>
    </row>
    <row r="184" spans="2:4" x14ac:dyDescent="0.45">
      <c r="B184" s="1">
        <v>174</v>
      </c>
      <c r="C184" s="9">
        <f>($F$11-$G$11)*COS(2*PI()*$J$11*$I$11*B184/$L$11)+($G$11/$H$11)*COS((($F$11-$G$11)/$G$11)*2*PI()*$I$11*B184/$L$11)</f>
        <v>1</v>
      </c>
      <c r="D184" s="9">
        <f>($F$11-$G$11)*SIN(2*PI()*$K$11*$I$11*B184/$L$11)-($G$11/$H$11)*SIN((($F$11-$G$11)/$G$11)*2*PI()*$I$11*B184/$L$11)</f>
        <v>0</v>
      </c>
    </row>
    <row r="185" spans="2:4" x14ac:dyDescent="0.45">
      <c r="B185" s="1">
        <v>175</v>
      </c>
      <c r="C185" s="9">
        <f>($F$11-$G$11)*COS(2*PI()*$J$11*$I$11*B185/$L$11)+($G$11/$H$11)*COS((($F$11-$G$11)/$G$11)*2*PI()*$I$11*B185/$L$11)</f>
        <v>1</v>
      </c>
      <c r="D185" s="9">
        <f>($F$11-$G$11)*SIN(2*PI()*$K$11*$I$11*B185/$L$11)-($G$11/$H$11)*SIN((($F$11-$G$11)/$G$11)*2*PI()*$I$11*B185/$L$11)</f>
        <v>0</v>
      </c>
    </row>
    <row r="186" spans="2:4" x14ac:dyDescent="0.45">
      <c r="B186" s="1">
        <v>176</v>
      </c>
      <c r="C186" s="9">
        <f>($F$11-$G$11)*COS(2*PI()*$J$11*$I$11*B186/$L$11)+($G$11/$H$11)*COS((($F$11-$G$11)/$G$11)*2*PI()*$I$11*B186/$L$11)</f>
        <v>1</v>
      </c>
      <c r="D186" s="9">
        <f>($F$11-$G$11)*SIN(2*PI()*$K$11*$I$11*B186/$L$11)-($G$11/$H$11)*SIN((($F$11-$G$11)/$G$11)*2*PI()*$I$11*B186/$L$11)</f>
        <v>0</v>
      </c>
    </row>
    <row r="187" spans="2:4" x14ac:dyDescent="0.45">
      <c r="B187" s="1">
        <v>177</v>
      </c>
      <c r="C187" s="9">
        <f>($F$11-$G$11)*COS(2*PI()*$J$11*$I$11*B187/$L$11)+($G$11/$H$11)*COS((($F$11-$G$11)/$G$11)*2*PI()*$I$11*B187/$L$11)</f>
        <v>1</v>
      </c>
      <c r="D187" s="9">
        <f>($F$11-$G$11)*SIN(2*PI()*$K$11*$I$11*B187/$L$11)-($G$11/$H$11)*SIN((($F$11-$G$11)/$G$11)*2*PI()*$I$11*B187/$L$11)</f>
        <v>0</v>
      </c>
    </row>
    <row r="188" spans="2:4" x14ac:dyDescent="0.45">
      <c r="B188" s="1">
        <v>178</v>
      </c>
      <c r="C188" s="9">
        <f>($F$11-$G$11)*COS(2*PI()*$J$11*$I$11*B188/$L$11)+($G$11/$H$11)*COS((($F$11-$G$11)/$G$11)*2*PI()*$I$11*B188/$L$11)</f>
        <v>1</v>
      </c>
      <c r="D188" s="9">
        <f>($F$11-$G$11)*SIN(2*PI()*$K$11*$I$11*B188/$L$11)-($G$11/$H$11)*SIN((($F$11-$G$11)/$G$11)*2*PI()*$I$11*B188/$L$11)</f>
        <v>0</v>
      </c>
    </row>
    <row r="189" spans="2:4" x14ac:dyDescent="0.45">
      <c r="B189" s="1">
        <v>179</v>
      </c>
      <c r="C189" s="9">
        <f>($F$11-$G$11)*COS(2*PI()*$J$11*$I$11*B189/$L$11)+($G$11/$H$11)*COS((($F$11-$G$11)/$G$11)*2*PI()*$I$11*B189/$L$11)</f>
        <v>1</v>
      </c>
      <c r="D189" s="9">
        <f>($F$11-$G$11)*SIN(2*PI()*$K$11*$I$11*B189/$L$11)-($G$11/$H$11)*SIN((($F$11-$G$11)/$G$11)*2*PI()*$I$11*B189/$L$11)</f>
        <v>0</v>
      </c>
    </row>
    <row r="190" spans="2:4" x14ac:dyDescent="0.45">
      <c r="B190" s="1">
        <v>180</v>
      </c>
      <c r="C190" s="9">
        <f>($F$11-$G$11)*COS(2*PI()*$J$11*$I$11*B190/$L$11)+($G$11/$H$11)*COS((($F$11-$G$11)/$G$11)*2*PI()*$I$11*B190/$L$11)</f>
        <v>1</v>
      </c>
      <c r="D190" s="9">
        <f>($F$11-$G$11)*SIN(2*PI()*$K$11*$I$11*B190/$L$11)-($G$11/$H$11)*SIN((($F$11-$G$11)/$G$11)*2*PI()*$I$11*B190/$L$11)</f>
        <v>0</v>
      </c>
    </row>
    <row r="191" spans="2:4" x14ac:dyDescent="0.45">
      <c r="B191" s="1">
        <v>181</v>
      </c>
      <c r="C191" s="9">
        <f>($F$11-$G$11)*COS(2*PI()*$J$11*$I$11*B191/$L$11)+($G$11/$H$11)*COS((($F$11-$G$11)/$G$11)*2*PI()*$I$11*B191/$L$11)</f>
        <v>1</v>
      </c>
      <c r="D191" s="9">
        <f>($F$11-$G$11)*SIN(2*PI()*$K$11*$I$11*B191/$L$11)-($G$11/$H$11)*SIN((($F$11-$G$11)/$G$11)*2*PI()*$I$11*B191/$L$11)</f>
        <v>0</v>
      </c>
    </row>
    <row r="192" spans="2:4" x14ac:dyDescent="0.45">
      <c r="B192" s="1">
        <v>182</v>
      </c>
      <c r="C192" s="9">
        <f>($F$11-$G$11)*COS(2*PI()*$J$11*$I$11*B192/$L$11)+($G$11/$H$11)*COS((($F$11-$G$11)/$G$11)*2*PI()*$I$11*B192/$L$11)</f>
        <v>1</v>
      </c>
      <c r="D192" s="9">
        <f>($F$11-$G$11)*SIN(2*PI()*$K$11*$I$11*B192/$L$11)-($G$11/$H$11)*SIN((($F$11-$G$11)/$G$11)*2*PI()*$I$11*B192/$L$11)</f>
        <v>0</v>
      </c>
    </row>
    <row r="193" spans="2:4" x14ac:dyDescent="0.45">
      <c r="B193" s="1">
        <v>183</v>
      </c>
      <c r="C193" s="9">
        <f>($F$11-$G$11)*COS(2*PI()*$J$11*$I$11*B193/$L$11)+($G$11/$H$11)*COS((($F$11-$G$11)/$G$11)*2*PI()*$I$11*B193/$L$11)</f>
        <v>1</v>
      </c>
      <c r="D193" s="9">
        <f>($F$11-$G$11)*SIN(2*PI()*$K$11*$I$11*B193/$L$11)-($G$11/$H$11)*SIN((($F$11-$G$11)/$G$11)*2*PI()*$I$11*B193/$L$11)</f>
        <v>0</v>
      </c>
    </row>
    <row r="194" spans="2:4" x14ac:dyDescent="0.45">
      <c r="B194" s="1">
        <v>184</v>
      </c>
      <c r="C194" s="9">
        <f>($F$11-$G$11)*COS(2*PI()*$J$11*$I$11*B194/$L$11)+($G$11/$H$11)*COS((($F$11-$G$11)/$G$11)*2*PI()*$I$11*B194/$L$11)</f>
        <v>1</v>
      </c>
      <c r="D194" s="9">
        <f>($F$11-$G$11)*SIN(2*PI()*$K$11*$I$11*B194/$L$11)-($G$11/$H$11)*SIN((($F$11-$G$11)/$G$11)*2*PI()*$I$11*B194/$L$11)</f>
        <v>0</v>
      </c>
    </row>
    <row r="195" spans="2:4" x14ac:dyDescent="0.45">
      <c r="B195" s="1">
        <v>185</v>
      </c>
      <c r="C195" s="9">
        <f>($F$11-$G$11)*COS(2*PI()*$J$11*$I$11*B195/$L$11)+($G$11/$H$11)*COS((($F$11-$G$11)/$G$11)*2*PI()*$I$11*B195/$L$11)</f>
        <v>1</v>
      </c>
      <c r="D195" s="9">
        <f>($F$11-$G$11)*SIN(2*PI()*$K$11*$I$11*B195/$L$11)-($G$11/$H$11)*SIN((($F$11-$G$11)/$G$11)*2*PI()*$I$11*B195/$L$11)</f>
        <v>0</v>
      </c>
    </row>
    <row r="196" spans="2:4" x14ac:dyDescent="0.45">
      <c r="B196" s="1">
        <v>186</v>
      </c>
      <c r="C196" s="9">
        <f>($F$11-$G$11)*COS(2*PI()*$J$11*$I$11*B196/$L$11)+($G$11/$H$11)*COS((($F$11-$G$11)/$G$11)*2*PI()*$I$11*B196/$L$11)</f>
        <v>1</v>
      </c>
      <c r="D196" s="9">
        <f>($F$11-$G$11)*SIN(2*PI()*$K$11*$I$11*B196/$L$11)-($G$11/$H$11)*SIN((($F$11-$G$11)/$G$11)*2*PI()*$I$11*B196/$L$11)</f>
        <v>0</v>
      </c>
    </row>
    <row r="197" spans="2:4" x14ac:dyDescent="0.45">
      <c r="B197" s="1">
        <v>187</v>
      </c>
      <c r="C197" s="9">
        <f>($F$11-$G$11)*COS(2*PI()*$J$11*$I$11*B197/$L$11)+($G$11/$H$11)*COS((($F$11-$G$11)/$G$11)*2*PI()*$I$11*B197/$L$11)</f>
        <v>1</v>
      </c>
      <c r="D197" s="9">
        <f>($F$11-$G$11)*SIN(2*PI()*$K$11*$I$11*B197/$L$11)-($G$11/$H$11)*SIN((($F$11-$G$11)/$G$11)*2*PI()*$I$11*B197/$L$11)</f>
        <v>0</v>
      </c>
    </row>
    <row r="198" spans="2:4" x14ac:dyDescent="0.45">
      <c r="B198" s="1">
        <v>188</v>
      </c>
      <c r="C198" s="9">
        <f>($F$11-$G$11)*COS(2*PI()*$J$11*$I$11*B198/$L$11)+($G$11/$H$11)*COS((($F$11-$G$11)/$G$11)*2*PI()*$I$11*B198/$L$11)</f>
        <v>1</v>
      </c>
      <c r="D198" s="9">
        <f>($F$11-$G$11)*SIN(2*PI()*$K$11*$I$11*B198/$L$11)-($G$11/$H$11)*SIN((($F$11-$G$11)/$G$11)*2*PI()*$I$11*B198/$L$11)</f>
        <v>0</v>
      </c>
    </row>
    <row r="199" spans="2:4" x14ac:dyDescent="0.45">
      <c r="B199" s="1">
        <v>189</v>
      </c>
      <c r="C199" s="9">
        <f>($F$11-$G$11)*COS(2*PI()*$J$11*$I$11*B199/$L$11)+($G$11/$H$11)*COS((($F$11-$G$11)/$G$11)*2*PI()*$I$11*B199/$L$11)</f>
        <v>1</v>
      </c>
      <c r="D199" s="9">
        <f>($F$11-$G$11)*SIN(2*PI()*$K$11*$I$11*B199/$L$11)-($G$11/$H$11)*SIN((($F$11-$G$11)/$G$11)*2*PI()*$I$11*B199/$L$11)</f>
        <v>0</v>
      </c>
    </row>
    <row r="200" spans="2:4" x14ac:dyDescent="0.45">
      <c r="B200" s="1">
        <v>190</v>
      </c>
      <c r="C200" s="9">
        <f>($F$11-$G$11)*COS(2*PI()*$J$11*$I$11*B200/$L$11)+($G$11/$H$11)*COS((($F$11-$G$11)/$G$11)*2*PI()*$I$11*B200/$L$11)</f>
        <v>1</v>
      </c>
      <c r="D200" s="9">
        <f>($F$11-$G$11)*SIN(2*PI()*$K$11*$I$11*B200/$L$11)-($G$11/$H$11)*SIN((($F$11-$G$11)/$G$11)*2*PI()*$I$11*B200/$L$11)</f>
        <v>0</v>
      </c>
    </row>
    <row r="201" spans="2:4" x14ac:dyDescent="0.45">
      <c r="B201" s="1">
        <v>191</v>
      </c>
      <c r="C201" s="9">
        <f>($F$11-$G$11)*COS(2*PI()*$J$11*$I$11*B201/$L$11)+($G$11/$H$11)*COS((($F$11-$G$11)/$G$11)*2*PI()*$I$11*B201/$L$11)</f>
        <v>1</v>
      </c>
      <c r="D201" s="9">
        <f>($F$11-$G$11)*SIN(2*PI()*$K$11*$I$11*B201/$L$11)-($G$11/$H$11)*SIN((($F$11-$G$11)/$G$11)*2*PI()*$I$11*B201/$L$11)</f>
        <v>0</v>
      </c>
    </row>
    <row r="202" spans="2:4" x14ac:dyDescent="0.45">
      <c r="B202" s="1">
        <v>192</v>
      </c>
      <c r="C202" s="9">
        <f>($F$11-$G$11)*COS(2*PI()*$J$11*$I$11*B202/$L$11)+($G$11/$H$11)*COS((($F$11-$G$11)/$G$11)*2*PI()*$I$11*B202/$L$11)</f>
        <v>1</v>
      </c>
      <c r="D202" s="9">
        <f>($F$11-$G$11)*SIN(2*PI()*$K$11*$I$11*B202/$L$11)-($G$11/$H$11)*SIN((($F$11-$G$11)/$G$11)*2*PI()*$I$11*B202/$L$11)</f>
        <v>0</v>
      </c>
    </row>
    <row r="203" spans="2:4" x14ac:dyDescent="0.45">
      <c r="B203" s="1">
        <v>193</v>
      </c>
      <c r="C203" s="9">
        <f>($F$11-$G$11)*COS(2*PI()*$J$11*$I$11*B203/$L$11)+($G$11/$H$11)*COS((($F$11-$G$11)/$G$11)*2*PI()*$I$11*B203/$L$11)</f>
        <v>1</v>
      </c>
      <c r="D203" s="9">
        <f>($F$11-$G$11)*SIN(2*PI()*$K$11*$I$11*B203/$L$11)-($G$11/$H$11)*SIN((($F$11-$G$11)/$G$11)*2*PI()*$I$11*B203/$L$11)</f>
        <v>0</v>
      </c>
    </row>
    <row r="204" spans="2:4" x14ac:dyDescent="0.45">
      <c r="B204" s="1">
        <v>194</v>
      </c>
      <c r="C204" s="9">
        <f>($F$11-$G$11)*COS(2*PI()*$J$11*$I$11*B204/$L$11)+($G$11/$H$11)*COS((($F$11-$G$11)/$G$11)*2*PI()*$I$11*B204/$L$11)</f>
        <v>1</v>
      </c>
      <c r="D204" s="9">
        <f>($F$11-$G$11)*SIN(2*PI()*$K$11*$I$11*B204/$L$11)-($G$11/$H$11)*SIN((($F$11-$G$11)/$G$11)*2*PI()*$I$11*B204/$L$11)</f>
        <v>0</v>
      </c>
    </row>
    <row r="205" spans="2:4" x14ac:dyDescent="0.45">
      <c r="B205" s="1">
        <v>195</v>
      </c>
      <c r="C205" s="9">
        <f>($F$11-$G$11)*COS(2*PI()*$J$11*$I$11*B205/$L$11)+($G$11/$H$11)*COS((($F$11-$G$11)/$G$11)*2*PI()*$I$11*B205/$L$11)</f>
        <v>1</v>
      </c>
      <c r="D205" s="9">
        <f>($F$11-$G$11)*SIN(2*PI()*$K$11*$I$11*B205/$L$11)-($G$11/$H$11)*SIN((($F$11-$G$11)/$G$11)*2*PI()*$I$11*B205/$L$11)</f>
        <v>0</v>
      </c>
    </row>
    <row r="206" spans="2:4" x14ac:dyDescent="0.45">
      <c r="B206" s="1">
        <v>196</v>
      </c>
      <c r="C206" s="9">
        <f>($F$11-$G$11)*COS(2*PI()*$J$11*$I$11*B206/$L$11)+($G$11/$H$11)*COS((($F$11-$G$11)/$G$11)*2*PI()*$I$11*B206/$L$11)</f>
        <v>1</v>
      </c>
      <c r="D206" s="9">
        <f>($F$11-$G$11)*SIN(2*PI()*$K$11*$I$11*B206/$L$11)-($G$11/$H$11)*SIN((($F$11-$G$11)/$G$11)*2*PI()*$I$11*B206/$L$11)</f>
        <v>0</v>
      </c>
    </row>
    <row r="207" spans="2:4" x14ac:dyDescent="0.45">
      <c r="B207" s="1">
        <v>197</v>
      </c>
      <c r="C207" s="9">
        <f>($F$11-$G$11)*COS(2*PI()*$J$11*$I$11*B207/$L$11)+($G$11/$H$11)*COS((($F$11-$G$11)/$G$11)*2*PI()*$I$11*B207/$L$11)</f>
        <v>1</v>
      </c>
      <c r="D207" s="9">
        <f>($F$11-$G$11)*SIN(2*PI()*$K$11*$I$11*B207/$L$11)-($G$11/$H$11)*SIN((($F$11-$G$11)/$G$11)*2*PI()*$I$11*B207/$L$11)</f>
        <v>0</v>
      </c>
    </row>
    <row r="208" spans="2:4" x14ac:dyDescent="0.45">
      <c r="B208" s="1">
        <v>198</v>
      </c>
      <c r="C208" s="9">
        <f>($F$11-$G$11)*COS(2*PI()*$J$11*$I$11*B208/$L$11)+($G$11/$H$11)*COS((($F$11-$G$11)/$G$11)*2*PI()*$I$11*B208/$L$11)</f>
        <v>1</v>
      </c>
      <c r="D208" s="9">
        <f>($F$11-$G$11)*SIN(2*PI()*$K$11*$I$11*B208/$L$11)-($G$11/$H$11)*SIN((($F$11-$G$11)/$G$11)*2*PI()*$I$11*B208/$L$11)</f>
        <v>0</v>
      </c>
    </row>
    <row r="209" spans="2:4" x14ac:dyDescent="0.45">
      <c r="B209" s="1">
        <v>199</v>
      </c>
      <c r="C209" s="9">
        <f>($F$11-$G$11)*COS(2*PI()*$J$11*$I$11*B209/$L$11)+($G$11/$H$11)*COS((($F$11-$G$11)/$G$11)*2*PI()*$I$11*B209/$L$11)</f>
        <v>1</v>
      </c>
      <c r="D209" s="9">
        <f>($F$11-$G$11)*SIN(2*PI()*$K$11*$I$11*B209/$L$11)-($G$11/$H$11)*SIN((($F$11-$G$11)/$G$11)*2*PI()*$I$11*B209/$L$11)</f>
        <v>0</v>
      </c>
    </row>
    <row r="210" spans="2:4" x14ac:dyDescent="0.45">
      <c r="B210" s="1">
        <v>200</v>
      </c>
      <c r="C210" s="9">
        <f>($F$11-$G$11)*COS(2*PI()*$J$11*$I$11*B210/$L$11)+($G$11/$H$11)*COS((($F$11-$G$11)/$G$11)*2*PI()*$I$11*B210/$L$11)</f>
        <v>1</v>
      </c>
      <c r="D210" s="9">
        <f>($F$11-$G$11)*SIN(2*PI()*$K$11*$I$11*B210/$L$11)-($G$11/$H$11)*SIN((($F$11-$G$11)/$G$11)*2*PI()*$I$11*B210/$L$11)</f>
        <v>0</v>
      </c>
    </row>
    <row r="211" spans="2:4" x14ac:dyDescent="0.45">
      <c r="B211" s="1">
        <v>201</v>
      </c>
      <c r="C211" s="9">
        <f>($F$11-$G$11)*COS(2*PI()*$J$11*$I$11*B211/$L$11)+($G$11/$H$11)*COS((($F$11-$G$11)/$G$11)*2*PI()*$I$11*B211/$L$11)</f>
        <v>1</v>
      </c>
      <c r="D211" s="9">
        <f>($F$11-$G$11)*SIN(2*PI()*$K$11*$I$11*B211/$L$11)-($G$11/$H$11)*SIN((($F$11-$G$11)/$G$11)*2*PI()*$I$11*B211/$L$11)</f>
        <v>0</v>
      </c>
    </row>
    <row r="212" spans="2:4" x14ac:dyDescent="0.45">
      <c r="B212" s="1">
        <v>202</v>
      </c>
      <c r="C212" s="9">
        <f>($F$11-$G$11)*COS(2*PI()*$J$11*$I$11*B212/$L$11)+($G$11/$H$11)*COS((($F$11-$G$11)/$G$11)*2*PI()*$I$11*B212/$L$11)</f>
        <v>1</v>
      </c>
      <c r="D212" s="9">
        <f>($F$11-$G$11)*SIN(2*PI()*$K$11*$I$11*B212/$L$11)-($G$11/$H$11)*SIN((($F$11-$G$11)/$G$11)*2*PI()*$I$11*B212/$L$11)</f>
        <v>0</v>
      </c>
    </row>
    <row r="213" spans="2:4" x14ac:dyDescent="0.45">
      <c r="B213" s="1">
        <v>203</v>
      </c>
      <c r="C213" s="9">
        <f>($F$11-$G$11)*COS(2*PI()*$J$11*$I$11*B213/$L$11)+($G$11/$H$11)*COS((($F$11-$G$11)/$G$11)*2*PI()*$I$11*B213/$L$11)</f>
        <v>1</v>
      </c>
      <c r="D213" s="9">
        <f>($F$11-$G$11)*SIN(2*PI()*$K$11*$I$11*B213/$L$11)-($G$11/$H$11)*SIN((($F$11-$G$11)/$G$11)*2*PI()*$I$11*B213/$L$11)</f>
        <v>0</v>
      </c>
    </row>
    <row r="214" spans="2:4" x14ac:dyDescent="0.45">
      <c r="B214" s="1">
        <v>204</v>
      </c>
      <c r="C214" s="9">
        <f>($F$11-$G$11)*COS(2*PI()*$J$11*$I$11*B214/$L$11)+($G$11/$H$11)*COS((($F$11-$G$11)/$G$11)*2*PI()*$I$11*B214/$L$11)</f>
        <v>1</v>
      </c>
      <c r="D214" s="9">
        <f>($F$11-$G$11)*SIN(2*PI()*$K$11*$I$11*B214/$L$11)-($G$11/$H$11)*SIN((($F$11-$G$11)/$G$11)*2*PI()*$I$11*B214/$L$11)</f>
        <v>0</v>
      </c>
    </row>
    <row r="215" spans="2:4" x14ac:dyDescent="0.45">
      <c r="B215" s="1">
        <v>205</v>
      </c>
      <c r="C215" s="9">
        <f>($F$11-$G$11)*COS(2*PI()*$J$11*$I$11*B215/$L$11)+($G$11/$H$11)*COS((($F$11-$G$11)/$G$11)*2*PI()*$I$11*B215/$L$11)</f>
        <v>1</v>
      </c>
      <c r="D215" s="9">
        <f>($F$11-$G$11)*SIN(2*PI()*$K$11*$I$11*B215/$L$11)-($G$11/$H$11)*SIN((($F$11-$G$11)/$G$11)*2*PI()*$I$11*B215/$L$11)</f>
        <v>0</v>
      </c>
    </row>
    <row r="216" spans="2:4" x14ac:dyDescent="0.45">
      <c r="B216" s="1">
        <v>206</v>
      </c>
      <c r="C216" s="9">
        <f>($F$11-$G$11)*COS(2*PI()*$J$11*$I$11*B216/$L$11)+($G$11/$H$11)*COS((($F$11-$G$11)/$G$11)*2*PI()*$I$11*B216/$L$11)</f>
        <v>1</v>
      </c>
      <c r="D216" s="9">
        <f>($F$11-$G$11)*SIN(2*PI()*$K$11*$I$11*B216/$L$11)-($G$11/$H$11)*SIN((($F$11-$G$11)/$G$11)*2*PI()*$I$11*B216/$L$11)</f>
        <v>0</v>
      </c>
    </row>
    <row r="217" spans="2:4" x14ac:dyDescent="0.45">
      <c r="B217" s="1">
        <v>207</v>
      </c>
      <c r="C217" s="9">
        <f>($F$11-$G$11)*COS(2*PI()*$J$11*$I$11*B217/$L$11)+($G$11/$H$11)*COS((($F$11-$G$11)/$G$11)*2*PI()*$I$11*B217/$L$11)</f>
        <v>1</v>
      </c>
      <c r="D217" s="9">
        <f>($F$11-$G$11)*SIN(2*PI()*$K$11*$I$11*B217/$L$11)-($G$11/$H$11)*SIN((($F$11-$G$11)/$G$11)*2*PI()*$I$11*B217/$L$11)</f>
        <v>0</v>
      </c>
    </row>
    <row r="218" spans="2:4" x14ac:dyDescent="0.45">
      <c r="B218" s="1">
        <v>208</v>
      </c>
      <c r="C218" s="9">
        <f>($F$11-$G$11)*COS(2*PI()*$J$11*$I$11*B218/$L$11)+($G$11/$H$11)*COS((($F$11-$G$11)/$G$11)*2*PI()*$I$11*B218/$L$11)</f>
        <v>1</v>
      </c>
      <c r="D218" s="9">
        <f>($F$11-$G$11)*SIN(2*PI()*$K$11*$I$11*B218/$L$11)-($G$11/$H$11)*SIN((($F$11-$G$11)/$G$11)*2*PI()*$I$11*B218/$L$11)</f>
        <v>0</v>
      </c>
    </row>
    <row r="219" spans="2:4" x14ac:dyDescent="0.45">
      <c r="B219" s="1">
        <v>209</v>
      </c>
      <c r="C219" s="9">
        <f>($F$11-$G$11)*COS(2*PI()*$J$11*$I$11*B219/$L$11)+($G$11/$H$11)*COS((($F$11-$G$11)/$G$11)*2*PI()*$I$11*B219/$L$11)</f>
        <v>1</v>
      </c>
      <c r="D219" s="9">
        <f>($F$11-$G$11)*SIN(2*PI()*$K$11*$I$11*B219/$L$11)-($G$11/$H$11)*SIN((($F$11-$G$11)/$G$11)*2*PI()*$I$11*B219/$L$11)</f>
        <v>0</v>
      </c>
    </row>
    <row r="220" spans="2:4" x14ac:dyDescent="0.45">
      <c r="B220" s="1">
        <v>210</v>
      </c>
      <c r="C220" s="9">
        <f>($F$11-$G$11)*COS(2*PI()*$J$11*$I$11*B220/$L$11)+($G$11/$H$11)*COS((($F$11-$G$11)/$G$11)*2*PI()*$I$11*B220/$L$11)</f>
        <v>1</v>
      </c>
      <c r="D220" s="9">
        <f>($F$11-$G$11)*SIN(2*PI()*$K$11*$I$11*B220/$L$11)-($G$11/$H$11)*SIN((($F$11-$G$11)/$G$11)*2*PI()*$I$11*B220/$L$11)</f>
        <v>0</v>
      </c>
    </row>
    <row r="221" spans="2:4" x14ac:dyDescent="0.45">
      <c r="B221" s="1">
        <v>211</v>
      </c>
      <c r="C221" s="9">
        <f>($F$11-$G$11)*COS(2*PI()*$J$11*$I$11*B221/$L$11)+($G$11/$H$11)*COS((($F$11-$G$11)/$G$11)*2*PI()*$I$11*B221/$L$11)</f>
        <v>1</v>
      </c>
      <c r="D221" s="9">
        <f>($F$11-$G$11)*SIN(2*PI()*$K$11*$I$11*B221/$L$11)-($G$11/$H$11)*SIN((($F$11-$G$11)/$G$11)*2*PI()*$I$11*B221/$L$11)</f>
        <v>0</v>
      </c>
    </row>
    <row r="222" spans="2:4" x14ac:dyDescent="0.45">
      <c r="B222" s="1">
        <v>212</v>
      </c>
      <c r="C222" s="9">
        <f>($F$11-$G$11)*COS(2*PI()*$J$11*$I$11*B222/$L$11)+($G$11/$H$11)*COS((($F$11-$G$11)/$G$11)*2*PI()*$I$11*B222/$L$11)</f>
        <v>1</v>
      </c>
      <c r="D222" s="9">
        <f>($F$11-$G$11)*SIN(2*PI()*$K$11*$I$11*B222/$L$11)-($G$11/$H$11)*SIN((($F$11-$G$11)/$G$11)*2*PI()*$I$11*B222/$L$11)</f>
        <v>0</v>
      </c>
    </row>
    <row r="223" spans="2:4" x14ac:dyDescent="0.45">
      <c r="B223" s="1">
        <v>213</v>
      </c>
      <c r="C223" s="9">
        <f>($F$11-$G$11)*COS(2*PI()*$J$11*$I$11*B223/$L$11)+($G$11/$H$11)*COS((($F$11-$G$11)/$G$11)*2*PI()*$I$11*B223/$L$11)</f>
        <v>1</v>
      </c>
      <c r="D223" s="9">
        <f>($F$11-$G$11)*SIN(2*PI()*$K$11*$I$11*B223/$L$11)-($G$11/$H$11)*SIN((($F$11-$G$11)/$G$11)*2*PI()*$I$11*B223/$L$11)</f>
        <v>0</v>
      </c>
    </row>
    <row r="224" spans="2:4" x14ac:dyDescent="0.45">
      <c r="B224" s="1">
        <v>214</v>
      </c>
      <c r="C224" s="9">
        <f>($F$11-$G$11)*COS(2*PI()*$J$11*$I$11*B224/$L$11)+($G$11/$H$11)*COS((($F$11-$G$11)/$G$11)*2*PI()*$I$11*B224/$L$11)</f>
        <v>1</v>
      </c>
      <c r="D224" s="9">
        <f>($F$11-$G$11)*SIN(2*PI()*$K$11*$I$11*B224/$L$11)-($G$11/$H$11)*SIN((($F$11-$G$11)/$G$11)*2*PI()*$I$11*B224/$L$11)</f>
        <v>0</v>
      </c>
    </row>
    <row r="225" spans="2:4" x14ac:dyDescent="0.45">
      <c r="B225" s="1">
        <v>215</v>
      </c>
      <c r="C225" s="9">
        <f>($F$11-$G$11)*COS(2*PI()*$J$11*$I$11*B225/$L$11)+($G$11/$H$11)*COS((($F$11-$G$11)/$G$11)*2*PI()*$I$11*B225/$L$11)</f>
        <v>1</v>
      </c>
      <c r="D225" s="9">
        <f>($F$11-$G$11)*SIN(2*PI()*$K$11*$I$11*B225/$L$11)-($G$11/$H$11)*SIN((($F$11-$G$11)/$G$11)*2*PI()*$I$11*B225/$L$11)</f>
        <v>0</v>
      </c>
    </row>
    <row r="226" spans="2:4" x14ac:dyDescent="0.45">
      <c r="B226" s="1">
        <v>216</v>
      </c>
      <c r="C226" s="9">
        <f>($F$11-$G$11)*COS(2*PI()*$J$11*$I$11*B226/$L$11)+($G$11/$H$11)*COS((($F$11-$G$11)/$G$11)*2*PI()*$I$11*B226/$L$11)</f>
        <v>1</v>
      </c>
      <c r="D226" s="9">
        <f>($F$11-$G$11)*SIN(2*PI()*$K$11*$I$11*B226/$L$11)-($G$11/$H$11)*SIN((($F$11-$G$11)/$G$11)*2*PI()*$I$11*B226/$L$11)</f>
        <v>0</v>
      </c>
    </row>
    <row r="227" spans="2:4" x14ac:dyDescent="0.45">
      <c r="B227" s="1">
        <v>217</v>
      </c>
      <c r="C227" s="9">
        <f>($F$11-$G$11)*COS(2*PI()*$J$11*$I$11*B227/$L$11)+($G$11/$H$11)*COS((($F$11-$G$11)/$G$11)*2*PI()*$I$11*B227/$L$11)</f>
        <v>1</v>
      </c>
      <c r="D227" s="9">
        <f>($F$11-$G$11)*SIN(2*PI()*$K$11*$I$11*B227/$L$11)-($G$11/$H$11)*SIN((($F$11-$G$11)/$G$11)*2*PI()*$I$11*B227/$L$11)</f>
        <v>0</v>
      </c>
    </row>
    <row r="228" spans="2:4" x14ac:dyDescent="0.45">
      <c r="B228" s="1">
        <v>218</v>
      </c>
      <c r="C228" s="9">
        <f>($F$11-$G$11)*COS(2*PI()*$J$11*$I$11*B228/$L$11)+($G$11/$H$11)*COS((($F$11-$G$11)/$G$11)*2*PI()*$I$11*B228/$L$11)</f>
        <v>1</v>
      </c>
      <c r="D228" s="9">
        <f>($F$11-$G$11)*SIN(2*PI()*$K$11*$I$11*B228/$L$11)-($G$11/$H$11)*SIN((($F$11-$G$11)/$G$11)*2*PI()*$I$11*B228/$L$11)</f>
        <v>0</v>
      </c>
    </row>
    <row r="229" spans="2:4" x14ac:dyDescent="0.45">
      <c r="B229" s="1">
        <v>219</v>
      </c>
      <c r="C229" s="9">
        <f>($F$11-$G$11)*COS(2*PI()*$J$11*$I$11*B229/$L$11)+($G$11/$H$11)*COS((($F$11-$G$11)/$G$11)*2*PI()*$I$11*B229/$L$11)</f>
        <v>1</v>
      </c>
      <c r="D229" s="9">
        <f>($F$11-$G$11)*SIN(2*PI()*$K$11*$I$11*B229/$L$11)-($G$11/$H$11)*SIN((($F$11-$G$11)/$G$11)*2*PI()*$I$11*B229/$L$11)</f>
        <v>0</v>
      </c>
    </row>
    <row r="230" spans="2:4" x14ac:dyDescent="0.45">
      <c r="B230" s="1">
        <v>220</v>
      </c>
      <c r="C230" s="9">
        <f>($F$11-$G$11)*COS(2*PI()*$J$11*$I$11*B230/$L$11)+($G$11/$H$11)*COS((($F$11-$G$11)/$G$11)*2*PI()*$I$11*B230/$L$11)</f>
        <v>1</v>
      </c>
      <c r="D230" s="9">
        <f>($F$11-$G$11)*SIN(2*PI()*$K$11*$I$11*B230/$L$11)-($G$11/$H$11)*SIN((($F$11-$G$11)/$G$11)*2*PI()*$I$11*B230/$L$11)</f>
        <v>0</v>
      </c>
    </row>
    <row r="231" spans="2:4" x14ac:dyDescent="0.45">
      <c r="B231" s="1">
        <v>221</v>
      </c>
      <c r="C231" s="9">
        <f>($F$11-$G$11)*COS(2*PI()*$J$11*$I$11*B231/$L$11)+($G$11/$H$11)*COS((($F$11-$G$11)/$G$11)*2*PI()*$I$11*B231/$L$11)</f>
        <v>1</v>
      </c>
      <c r="D231" s="9">
        <f>($F$11-$G$11)*SIN(2*PI()*$K$11*$I$11*B231/$L$11)-($G$11/$H$11)*SIN((($F$11-$G$11)/$G$11)*2*PI()*$I$11*B231/$L$11)</f>
        <v>0</v>
      </c>
    </row>
    <row r="232" spans="2:4" x14ac:dyDescent="0.45">
      <c r="B232" s="1">
        <v>222</v>
      </c>
      <c r="C232" s="9">
        <f>($F$11-$G$11)*COS(2*PI()*$J$11*$I$11*B232/$L$11)+($G$11/$H$11)*COS((($F$11-$G$11)/$G$11)*2*PI()*$I$11*B232/$L$11)</f>
        <v>1</v>
      </c>
      <c r="D232" s="9">
        <f>($F$11-$G$11)*SIN(2*PI()*$K$11*$I$11*B232/$L$11)-($G$11/$H$11)*SIN((($F$11-$G$11)/$G$11)*2*PI()*$I$11*B232/$L$11)</f>
        <v>0</v>
      </c>
    </row>
    <row r="233" spans="2:4" x14ac:dyDescent="0.45">
      <c r="B233" s="1">
        <v>223</v>
      </c>
      <c r="C233" s="9">
        <f>($F$11-$G$11)*COS(2*PI()*$J$11*$I$11*B233/$L$11)+($G$11/$H$11)*COS((($F$11-$G$11)/$G$11)*2*PI()*$I$11*B233/$L$11)</f>
        <v>1</v>
      </c>
      <c r="D233" s="9">
        <f>($F$11-$G$11)*SIN(2*PI()*$K$11*$I$11*B233/$L$11)-($G$11/$H$11)*SIN((($F$11-$G$11)/$G$11)*2*PI()*$I$11*B233/$L$11)</f>
        <v>0</v>
      </c>
    </row>
    <row r="234" spans="2:4" x14ac:dyDescent="0.45">
      <c r="B234" s="1">
        <v>224</v>
      </c>
      <c r="C234" s="9">
        <f>($F$11-$G$11)*COS(2*PI()*$J$11*$I$11*B234/$L$11)+($G$11/$H$11)*COS((($F$11-$G$11)/$G$11)*2*PI()*$I$11*B234/$L$11)</f>
        <v>1</v>
      </c>
      <c r="D234" s="9">
        <f>($F$11-$G$11)*SIN(2*PI()*$K$11*$I$11*B234/$L$11)-($G$11/$H$11)*SIN((($F$11-$G$11)/$G$11)*2*PI()*$I$11*B234/$L$11)</f>
        <v>0</v>
      </c>
    </row>
    <row r="235" spans="2:4" x14ac:dyDescent="0.45">
      <c r="B235" s="1">
        <v>225</v>
      </c>
      <c r="C235" s="9">
        <f>($F$11-$G$11)*COS(2*PI()*$J$11*$I$11*B235/$L$11)+($G$11/$H$11)*COS((($F$11-$G$11)/$G$11)*2*PI()*$I$11*B235/$L$11)</f>
        <v>1</v>
      </c>
      <c r="D235" s="9">
        <f>($F$11-$G$11)*SIN(2*PI()*$K$11*$I$11*B235/$L$11)-($G$11/$H$11)*SIN((($F$11-$G$11)/$G$11)*2*PI()*$I$11*B235/$L$11)</f>
        <v>0</v>
      </c>
    </row>
    <row r="236" spans="2:4" x14ac:dyDescent="0.45">
      <c r="B236" s="1">
        <v>226</v>
      </c>
      <c r="C236" s="9">
        <f>($F$11-$G$11)*COS(2*PI()*$J$11*$I$11*B236/$L$11)+($G$11/$H$11)*COS((($F$11-$G$11)/$G$11)*2*PI()*$I$11*B236/$L$11)</f>
        <v>1</v>
      </c>
      <c r="D236" s="9">
        <f>($F$11-$G$11)*SIN(2*PI()*$K$11*$I$11*B236/$L$11)-($G$11/$H$11)*SIN((($F$11-$G$11)/$G$11)*2*PI()*$I$11*B236/$L$11)</f>
        <v>0</v>
      </c>
    </row>
    <row r="237" spans="2:4" x14ac:dyDescent="0.45">
      <c r="B237" s="1">
        <v>227</v>
      </c>
      <c r="C237" s="9">
        <f>($F$11-$G$11)*COS(2*PI()*$J$11*$I$11*B237/$L$11)+($G$11/$H$11)*COS((($F$11-$G$11)/$G$11)*2*PI()*$I$11*B237/$L$11)</f>
        <v>1</v>
      </c>
      <c r="D237" s="9">
        <f>($F$11-$G$11)*SIN(2*PI()*$K$11*$I$11*B237/$L$11)-($G$11/$H$11)*SIN((($F$11-$G$11)/$G$11)*2*PI()*$I$11*B237/$L$11)</f>
        <v>0</v>
      </c>
    </row>
    <row r="238" spans="2:4" x14ac:dyDescent="0.45">
      <c r="B238" s="1">
        <v>228</v>
      </c>
      <c r="C238" s="9">
        <f>($F$11-$G$11)*COS(2*PI()*$J$11*$I$11*B238/$L$11)+($G$11/$H$11)*COS((($F$11-$G$11)/$G$11)*2*PI()*$I$11*B238/$L$11)</f>
        <v>1</v>
      </c>
      <c r="D238" s="9">
        <f>($F$11-$G$11)*SIN(2*PI()*$K$11*$I$11*B238/$L$11)-($G$11/$H$11)*SIN((($F$11-$G$11)/$G$11)*2*PI()*$I$11*B238/$L$11)</f>
        <v>0</v>
      </c>
    </row>
    <row r="239" spans="2:4" x14ac:dyDescent="0.45">
      <c r="B239" s="1">
        <v>229</v>
      </c>
      <c r="C239" s="9">
        <f>($F$11-$G$11)*COS(2*PI()*$J$11*$I$11*B239/$L$11)+($G$11/$H$11)*COS((($F$11-$G$11)/$G$11)*2*PI()*$I$11*B239/$L$11)</f>
        <v>1</v>
      </c>
      <c r="D239" s="9">
        <f>($F$11-$G$11)*SIN(2*PI()*$K$11*$I$11*B239/$L$11)-($G$11/$H$11)*SIN((($F$11-$G$11)/$G$11)*2*PI()*$I$11*B239/$L$11)</f>
        <v>0</v>
      </c>
    </row>
    <row r="240" spans="2:4" x14ac:dyDescent="0.45">
      <c r="B240" s="1">
        <v>230</v>
      </c>
      <c r="C240" s="9">
        <f>($F$11-$G$11)*COS(2*PI()*$J$11*$I$11*B240/$L$11)+($G$11/$H$11)*COS((($F$11-$G$11)/$G$11)*2*PI()*$I$11*B240/$L$11)</f>
        <v>1</v>
      </c>
      <c r="D240" s="9">
        <f>($F$11-$G$11)*SIN(2*PI()*$K$11*$I$11*B240/$L$11)-($G$11/$H$11)*SIN((($F$11-$G$11)/$G$11)*2*PI()*$I$11*B240/$L$11)</f>
        <v>0</v>
      </c>
    </row>
    <row r="241" spans="2:4" x14ac:dyDescent="0.45">
      <c r="B241" s="1">
        <v>231</v>
      </c>
      <c r="C241" s="9">
        <f>($F$11-$G$11)*COS(2*PI()*$J$11*$I$11*B241/$L$11)+($G$11/$H$11)*COS((($F$11-$G$11)/$G$11)*2*PI()*$I$11*B241/$L$11)</f>
        <v>1</v>
      </c>
      <c r="D241" s="9">
        <f>($F$11-$G$11)*SIN(2*PI()*$K$11*$I$11*B241/$L$11)-($G$11/$H$11)*SIN((($F$11-$G$11)/$G$11)*2*PI()*$I$11*B241/$L$11)</f>
        <v>0</v>
      </c>
    </row>
    <row r="242" spans="2:4" x14ac:dyDescent="0.45">
      <c r="B242" s="1">
        <v>232</v>
      </c>
      <c r="C242" s="9">
        <f>($F$11-$G$11)*COS(2*PI()*$J$11*$I$11*B242/$L$11)+($G$11/$H$11)*COS((($F$11-$G$11)/$G$11)*2*PI()*$I$11*B242/$L$11)</f>
        <v>1</v>
      </c>
      <c r="D242" s="9">
        <f>($F$11-$G$11)*SIN(2*PI()*$K$11*$I$11*B242/$L$11)-($G$11/$H$11)*SIN((($F$11-$G$11)/$G$11)*2*PI()*$I$11*B242/$L$11)</f>
        <v>0</v>
      </c>
    </row>
    <row r="243" spans="2:4" x14ac:dyDescent="0.45">
      <c r="B243" s="1">
        <v>233</v>
      </c>
      <c r="C243" s="9">
        <f>($F$11-$G$11)*COS(2*PI()*$J$11*$I$11*B243/$L$11)+($G$11/$H$11)*COS((($F$11-$G$11)/$G$11)*2*PI()*$I$11*B243/$L$11)</f>
        <v>1</v>
      </c>
      <c r="D243" s="9">
        <f>($F$11-$G$11)*SIN(2*PI()*$K$11*$I$11*B243/$L$11)-($G$11/$H$11)*SIN((($F$11-$G$11)/$G$11)*2*PI()*$I$11*B243/$L$11)</f>
        <v>0</v>
      </c>
    </row>
    <row r="244" spans="2:4" x14ac:dyDescent="0.45">
      <c r="B244" s="1">
        <v>234</v>
      </c>
      <c r="C244" s="9">
        <f>($F$11-$G$11)*COS(2*PI()*$J$11*$I$11*B244/$L$11)+($G$11/$H$11)*COS((($F$11-$G$11)/$G$11)*2*PI()*$I$11*B244/$L$11)</f>
        <v>1</v>
      </c>
      <c r="D244" s="9">
        <f>($F$11-$G$11)*SIN(2*PI()*$K$11*$I$11*B244/$L$11)-($G$11/$H$11)*SIN((($F$11-$G$11)/$G$11)*2*PI()*$I$11*B244/$L$11)</f>
        <v>0</v>
      </c>
    </row>
    <row r="245" spans="2:4" x14ac:dyDescent="0.45">
      <c r="B245" s="1">
        <v>235</v>
      </c>
      <c r="C245" s="9">
        <f>($F$11-$G$11)*COS(2*PI()*$J$11*$I$11*B245/$L$11)+($G$11/$H$11)*COS((($F$11-$G$11)/$G$11)*2*PI()*$I$11*B245/$L$11)</f>
        <v>1</v>
      </c>
      <c r="D245" s="9">
        <f>($F$11-$G$11)*SIN(2*PI()*$K$11*$I$11*B245/$L$11)-($G$11/$H$11)*SIN((($F$11-$G$11)/$G$11)*2*PI()*$I$11*B245/$L$11)</f>
        <v>0</v>
      </c>
    </row>
    <row r="246" spans="2:4" x14ac:dyDescent="0.45">
      <c r="B246" s="1">
        <v>236</v>
      </c>
      <c r="C246" s="9">
        <f>($F$11-$G$11)*COS(2*PI()*$J$11*$I$11*B246/$L$11)+($G$11/$H$11)*COS((($F$11-$G$11)/$G$11)*2*PI()*$I$11*B246/$L$11)</f>
        <v>1</v>
      </c>
      <c r="D246" s="9">
        <f>($F$11-$G$11)*SIN(2*PI()*$K$11*$I$11*B246/$L$11)-($G$11/$H$11)*SIN((($F$11-$G$11)/$G$11)*2*PI()*$I$11*B246/$L$11)</f>
        <v>0</v>
      </c>
    </row>
    <row r="247" spans="2:4" x14ac:dyDescent="0.45">
      <c r="B247" s="1">
        <v>237</v>
      </c>
      <c r="C247" s="9">
        <f>($F$11-$G$11)*COS(2*PI()*$J$11*$I$11*B247/$L$11)+($G$11/$H$11)*COS((($F$11-$G$11)/$G$11)*2*PI()*$I$11*B247/$L$11)</f>
        <v>1</v>
      </c>
      <c r="D247" s="9">
        <f>($F$11-$G$11)*SIN(2*PI()*$K$11*$I$11*B247/$L$11)-($G$11/$H$11)*SIN((($F$11-$G$11)/$G$11)*2*PI()*$I$11*B247/$L$11)</f>
        <v>0</v>
      </c>
    </row>
    <row r="248" spans="2:4" x14ac:dyDescent="0.45">
      <c r="B248" s="1">
        <v>238</v>
      </c>
      <c r="C248" s="9">
        <f>($F$11-$G$11)*COS(2*PI()*$J$11*$I$11*B248/$L$11)+($G$11/$H$11)*COS((($F$11-$G$11)/$G$11)*2*PI()*$I$11*B248/$L$11)</f>
        <v>1</v>
      </c>
      <c r="D248" s="9">
        <f>($F$11-$G$11)*SIN(2*PI()*$K$11*$I$11*B248/$L$11)-($G$11/$H$11)*SIN((($F$11-$G$11)/$G$11)*2*PI()*$I$11*B248/$L$11)</f>
        <v>0</v>
      </c>
    </row>
    <row r="249" spans="2:4" x14ac:dyDescent="0.45">
      <c r="B249" s="1">
        <v>239</v>
      </c>
      <c r="C249" s="9">
        <f>($F$11-$G$11)*COS(2*PI()*$J$11*$I$11*B249/$L$11)+($G$11/$H$11)*COS((($F$11-$G$11)/$G$11)*2*PI()*$I$11*B249/$L$11)</f>
        <v>1</v>
      </c>
      <c r="D249" s="9">
        <f>($F$11-$G$11)*SIN(2*PI()*$K$11*$I$11*B249/$L$11)-($G$11/$H$11)*SIN((($F$11-$G$11)/$G$11)*2*PI()*$I$11*B249/$L$11)</f>
        <v>0</v>
      </c>
    </row>
    <row r="250" spans="2:4" x14ac:dyDescent="0.45">
      <c r="B250" s="1">
        <v>240</v>
      </c>
      <c r="C250" s="9">
        <f>($F$11-$G$11)*COS(2*PI()*$J$11*$I$11*B250/$L$11)+($G$11/$H$11)*COS((($F$11-$G$11)/$G$11)*2*PI()*$I$11*B250/$L$11)</f>
        <v>1</v>
      </c>
      <c r="D250" s="9">
        <f>($F$11-$G$11)*SIN(2*PI()*$K$11*$I$11*B250/$L$11)-($G$11/$H$11)*SIN((($F$11-$G$11)/$G$11)*2*PI()*$I$11*B250/$L$11)</f>
        <v>0</v>
      </c>
    </row>
    <row r="251" spans="2:4" x14ac:dyDescent="0.45">
      <c r="B251" s="1">
        <v>241</v>
      </c>
      <c r="C251" s="9">
        <f>($F$11-$G$11)*COS(2*PI()*$J$11*$I$11*B251/$L$11)+($G$11/$H$11)*COS((($F$11-$G$11)/$G$11)*2*PI()*$I$11*B251/$L$11)</f>
        <v>1</v>
      </c>
      <c r="D251" s="9">
        <f>($F$11-$G$11)*SIN(2*PI()*$K$11*$I$11*B251/$L$11)-($G$11/$H$11)*SIN((($F$11-$G$11)/$G$11)*2*PI()*$I$11*B251/$L$11)</f>
        <v>0</v>
      </c>
    </row>
    <row r="252" spans="2:4" x14ac:dyDescent="0.45">
      <c r="B252" s="1">
        <v>242</v>
      </c>
      <c r="C252" s="9">
        <f>($F$11-$G$11)*COS(2*PI()*$J$11*$I$11*B252/$L$11)+($G$11/$H$11)*COS((($F$11-$G$11)/$G$11)*2*PI()*$I$11*B252/$L$11)</f>
        <v>1</v>
      </c>
      <c r="D252" s="9">
        <f>($F$11-$G$11)*SIN(2*PI()*$K$11*$I$11*B252/$L$11)-($G$11/$H$11)*SIN((($F$11-$G$11)/$G$11)*2*PI()*$I$11*B252/$L$11)</f>
        <v>0</v>
      </c>
    </row>
    <row r="253" spans="2:4" x14ac:dyDescent="0.45">
      <c r="B253" s="1">
        <v>243</v>
      </c>
      <c r="C253" s="9">
        <f>($F$11-$G$11)*COS(2*PI()*$J$11*$I$11*B253/$L$11)+($G$11/$H$11)*COS((($F$11-$G$11)/$G$11)*2*PI()*$I$11*B253/$L$11)</f>
        <v>1</v>
      </c>
      <c r="D253" s="9">
        <f>($F$11-$G$11)*SIN(2*PI()*$K$11*$I$11*B253/$L$11)-($G$11/$H$11)*SIN((($F$11-$G$11)/$G$11)*2*PI()*$I$11*B253/$L$11)</f>
        <v>0</v>
      </c>
    </row>
    <row r="254" spans="2:4" x14ac:dyDescent="0.45">
      <c r="B254" s="1">
        <v>244</v>
      </c>
      <c r="C254" s="9">
        <f>($F$11-$G$11)*COS(2*PI()*$J$11*$I$11*B254/$L$11)+($G$11/$H$11)*COS((($F$11-$G$11)/$G$11)*2*PI()*$I$11*B254/$L$11)</f>
        <v>1</v>
      </c>
      <c r="D254" s="9">
        <f>($F$11-$G$11)*SIN(2*PI()*$K$11*$I$11*B254/$L$11)-($G$11/$H$11)*SIN((($F$11-$G$11)/$G$11)*2*PI()*$I$11*B254/$L$11)</f>
        <v>0</v>
      </c>
    </row>
    <row r="255" spans="2:4" x14ac:dyDescent="0.45">
      <c r="B255" s="1">
        <v>245</v>
      </c>
      <c r="C255" s="9">
        <f>($F$11-$G$11)*COS(2*PI()*$J$11*$I$11*B255/$L$11)+($G$11/$H$11)*COS((($F$11-$G$11)/$G$11)*2*PI()*$I$11*B255/$L$11)</f>
        <v>1</v>
      </c>
      <c r="D255" s="9">
        <f>($F$11-$G$11)*SIN(2*PI()*$K$11*$I$11*B255/$L$11)-($G$11/$H$11)*SIN((($F$11-$G$11)/$G$11)*2*PI()*$I$11*B255/$L$11)</f>
        <v>0</v>
      </c>
    </row>
    <row r="256" spans="2:4" x14ac:dyDescent="0.45">
      <c r="B256" s="1">
        <v>246</v>
      </c>
      <c r="C256" s="9">
        <f>($F$11-$G$11)*COS(2*PI()*$J$11*$I$11*B256/$L$11)+($G$11/$H$11)*COS((($F$11-$G$11)/$G$11)*2*PI()*$I$11*B256/$L$11)</f>
        <v>1</v>
      </c>
      <c r="D256" s="9">
        <f>($F$11-$G$11)*SIN(2*PI()*$K$11*$I$11*B256/$L$11)-($G$11/$H$11)*SIN((($F$11-$G$11)/$G$11)*2*PI()*$I$11*B256/$L$11)</f>
        <v>0</v>
      </c>
    </row>
    <row r="257" spans="2:4" x14ac:dyDescent="0.45">
      <c r="B257" s="1">
        <v>247</v>
      </c>
      <c r="C257" s="9">
        <f>($F$11-$G$11)*COS(2*PI()*$J$11*$I$11*B257/$L$11)+($G$11/$H$11)*COS((($F$11-$G$11)/$G$11)*2*PI()*$I$11*B257/$L$11)</f>
        <v>1</v>
      </c>
      <c r="D257" s="9">
        <f>($F$11-$G$11)*SIN(2*PI()*$K$11*$I$11*B257/$L$11)-($G$11/$H$11)*SIN((($F$11-$G$11)/$G$11)*2*PI()*$I$11*B257/$L$11)</f>
        <v>0</v>
      </c>
    </row>
    <row r="258" spans="2:4" x14ac:dyDescent="0.45">
      <c r="B258" s="1">
        <v>248</v>
      </c>
      <c r="C258" s="9">
        <f>($F$11-$G$11)*COS(2*PI()*$J$11*$I$11*B258/$L$11)+($G$11/$H$11)*COS((($F$11-$G$11)/$G$11)*2*PI()*$I$11*B258/$L$11)</f>
        <v>1</v>
      </c>
      <c r="D258" s="9">
        <f>($F$11-$G$11)*SIN(2*PI()*$K$11*$I$11*B258/$L$11)-($G$11/$H$11)*SIN((($F$11-$G$11)/$G$11)*2*PI()*$I$11*B258/$L$11)</f>
        <v>0</v>
      </c>
    </row>
    <row r="259" spans="2:4" x14ac:dyDescent="0.45">
      <c r="B259" s="1">
        <v>249</v>
      </c>
      <c r="C259" s="9">
        <f>($F$11-$G$11)*COS(2*PI()*$J$11*$I$11*B259/$L$11)+($G$11/$H$11)*COS((($F$11-$G$11)/$G$11)*2*PI()*$I$11*B259/$L$11)</f>
        <v>1</v>
      </c>
      <c r="D259" s="9">
        <f>($F$11-$G$11)*SIN(2*PI()*$K$11*$I$11*B259/$L$11)-($G$11/$H$11)*SIN((($F$11-$G$11)/$G$11)*2*PI()*$I$11*B259/$L$11)</f>
        <v>0</v>
      </c>
    </row>
    <row r="260" spans="2:4" x14ac:dyDescent="0.45">
      <c r="B260" s="1">
        <v>250</v>
      </c>
      <c r="C260" s="9">
        <f>($F$11-$G$11)*COS(2*PI()*$J$11*$I$11*B260/$L$11)+($G$11/$H$11)*COS((($F$11-$G$11)/$G$11)*2*PI()*$I$11*B260/$L$11)</f>
        <v>1</v>
      </c>
      <c r="D260" s="9">
        <f>($F$11-$G$11)*SIN(2*PI()*$K$11*$I$11*B260/$L$11)-($G$11/$H$11)*SIN((($F$11-$G$11)/$G$11)*2*PI()*$I$11*B260/$L$11)</f>
        <v>0</v>
      </c>
    </row>
    <row r="261" spans="2:4" x14ac:dyDescent="0.45">
      <c r="B261" s="1">
        <v>251</v>
      </c>
      <c r="C261" s="9">
        <f>($F$11-$G$11)*COS(2*PI()*$J$11*$I$11*B261/$L$11)+($G$11/$H$11)*COS((($F$11-$G$11)/$G$11)*2*PI()*$I$11*B261/$L$11)</f>
        <v>1</v>
      </c>
      <c r="D261" s="9">
        <f>($F$11-$G$11)*SIN(2*PI()*$K$11*$I$11*B261/$L$11)-($G$11/$H$11)*SIN((($F$11-$G$11)/$G$11)*2*PI()*$I$11*B261/$L$11)</f>
        <v>0</v>
      </c>
    </row>
    <row r="262" spans="2:4" x14ac:dyDescent="0.45">
      <c r="B262" s="1">
        <v>252</v>
      </c>
      <c r="C262" s="9">
        <f>($F$11-$G$11)*COS(2*PI()*$J$11*$I$11*B262/$L$11)+($G$11/$H$11)*COS((($F$11-$G$11)/$G$11)*2*PI()*$I$11*B262/$L$11)</f>
        <v>1</v>
      </c>
      <c r="D262" s="9">
        <f>($F$11-$G$11)*SIN(2*PI()*$K$11*$I$11*B262/$L$11)-($G$11/$H$11)*SIN((($F$11-$G$11)/$G$11)*2*PI()*$I$11*B262/$L$11)</f>
        <v>0</v>
      </c>
    </row>
    <row r="263" spans="2:4" x14ac:dyDescent="0.45">
      <c r="B263" s="1">
        <v>253</v>
      </c>
      <c r="C263" s="9">
        <f>($F$11-$G$11)*COS(2*PI()*$J$11*$I$11*B263/$L$11)+($G$11/$H$11)*COS((($F$11-$G$11)/$G$11)*2*PI()*$I$11*B263/$L$11)</f>
        <v>1</v>
      </c>
      <c r="D263" s="9">
        <f>($F$11-$G$11)*SIN(2*PI()*$K$11*$I$11*B263/$L$11)-($G$11/$H$11)*SIN((($F$11-$G$11)/$G$11)*2*PI()*$I$11*B263/$L$11)</f>
        <v>0</v>
      </c>
    </row>
    <row r="264" spans="2:4" x14ac:dyDescent="0.45">
      <c r="B264" s="1">
        <v>254</v>
      </c>
      <c r="C264" s="9">
        <f>($F$11-$G$11)*COS(2*PI()*$J$11*$I$11*B264/$L$11)+($G$11/$H$11)*COS((($F$11-$G$11)/$G$11)*2*PI()*$I$11*B264/$L$11)</f>
        <v>1</v>
      </c>
      <c r="D264" s="9">
        <f>($F$11-$G$11)*SIN(2*PI()*$K$11*$I$11*B264/$L$11)-($G$11/$H$11)*SIN((($F$11-$G$11)/$G$11)*2*PI()*$I$11*B264/$L$11)</f>
        <v>0</v>
      </c>
    </row>
    <row r="265" spans="2:4" x14ac:dyDescent="0.45">
      <c r="B265" s="1">
        <v>255</v>
      </c>
      <c r="C265" s="9">
        <f>($F$11-$G$11)*COS(2*PI()*$J$11*$I$11*B265/$L$11)+($G$11/$H$11)*COS((($F$11-$G$11)/$G$11)*2*PI()*$I$11*B265/$L$11)</f>
        <v>1</v>
      </c>
      <c r="D265" s="9">
        <f>($F$11-$G$11)*SIN(2*PI()*$K$11*$I$11*B265/$L$11)-($G$11/$H$11)*SIN((($F$11-$G$11)/$G$11)*2*PI()*$I$11*B265/$L$11)</f>
        <v>0</v>
      </c>
    </row>
    <row r="266" spans="2:4" x14ac:dyDescent="0.45">
      <c r="B266" s="1">
        <v>256</v>
      </c>
      <c r="C266" s="9">
        <f>($F$11-$G$11)*COS(2*PI()*$J$11*$I$11*B266/$L$11)+($G$11/$H$11)*COS((($F$11-$G$11)/$G$11)*2*PI()*$I$11*B266/$L$11)</f>
        <v>1</v>
      </c>
      <c r="D266" s="9">
        <f>($F$11-$G$11)*SIN(2*PI()*$K$11*$I$11*B266/$L$11)-($G$11/$H$11)*SIN((($F$11-$G$11)/$G$11)*2*PI()*$I$11*B266/$L$11)</f>
        <v>0</v>
      </c>
    </row>
    <row r="267" spans="2:4" x14ac:dyDescent="0.45">
      <c r="B267" s="1">
        <v>257</v>
      </c>
      <c r="C267" s="9">
        <f>($F$11-$G$11)*COS(2*PI()*$J$11*$I$11*B267/$L$11)+($G$11/$H$11)*COS((($F$11-$G$11)/$G$11)*2*PI()*$I$11*B267/$L$11)</f>
        <v>1</v>
      </c>
      <c r="D267" s="9">
        <f>($F$11-$G$11)*SIN(2*PI()*$K$11*$I$11*B267/$L$11)-($G$11/$H$11)*SIN((($F$11-$G$11)/$G$11)*2*PI()*$I$11*B267/$L$11)</f>
        <v>0</v>
      </c>
    </row>
    <row r="268" spans="2:4" x14ac:dyDescent="0.45">
      <c r="B268" s="1">
        <v>258</v>
      </c>
      <c r="C268" s="9">
        <f>($F$11-$G$11)*COS(2*PI()*$J$11*$I$11*B268/$L$11)+($G$11/$H$11)*COS((($F$11-$G$11)/$G$11)*2*PI()*$I$11*B268/$L$11)</f>
        <v>1</v>
      </c>
      <c r="D268" s="9">
        <f>($F$11-$G$11)*SIN(2*PI()*$K$11*$I$11*B268/$L$11)-($G$11/$H$11)*SIN((($F$11-$G$11)/$G$11)*2*PI()*$I$11*B268/$L$11)</f>
        <v>0</v>
      </c>
    </row>
    <row r="269" spans="2:4" x14ac:dyDescent="0.45">
      <c r="B269" s="1">
        <v>259</v>
      </c>
      <c r="C269" s="9">
        <f>($F$11-$G$11)*COS(2*PI()*$J$11*$I$11*B269/$L$11)+($G$11/$H$11)*COS((($F$11-$G$11)/$G$11)*2*PI()*$I$11*B269/$L$11)</f>
        <v>1</v>
      </c>
      <c r="D269" s="9">
        <f>($F$11-$G$11)*SIN(2*PI()*$K$11*$I$11*B269/$L$11)-($G$11/$H$11)*SIN((($F$11-$G$11)/$G$11)*2*PI()*$I$11*B269/$L$11)</f>
        <v>0</v>
      </c>
    </row>
    <row r="270" spans="2:4" x14ac:dyDescent="0.45">
      <c r="B270" s="1">
        <v>260</v>
      </c>
      <c r="C270" s="9">
        <f>($F$11-$G$11)*COS(2*PI()*$J$11*$I$11*B270/$L$11)+($G$11/$H$11)*COS((($F$11-$G$11)/$G$11)*2*PI()*$I$11*B270/$L$11)</f>
        <v>1</v>
      </c>
      <c r="D270" s="9">
        <f>($F$11-$G$11)*SIN(2*PI()*$K$11*$I$11*B270/$L$11)-($G$11/$H$11)*SIN((($F$11-$G$11)/$G$11)*2*PI()*$I$11*B270/$L$11)</f>
        <v>0</v>
      </c>
    </row>
    <row r="271" spans="2:4" x14ac:dyDescent="0.45">
      <c r="B271" s="1">
        <v>261</v>
      </c>
      <c r="C271" s="9">
        <f>($F$11-$G$11)*COS(2*PI()*$J$11*$I$11*B271/$L$11)+($G$11/$H$11)*COS((($F$11-$G$11)/$G$11)*2*PI()*$I$11*B271/$L$11)</f>
        <v>1</v>
      </c>
      <c r="D271" s="9">
        <f>($F$11-$G$11)*SIN(2*PI()*$K$11*$I$11*B271/$L$11)-($G$11/$H$11)*SIN((($F$11-$G$11)/$G$11)*2*PI()*$I$11*B271/$L$11)</f>
        <v>0</v>
      </c>
    </row>
    <row r="272" spans="2:4" x14ac:dyDescent="0.45">
      <c r="B272" s="1">
        <v>262</v>
      </c>
      <c r="C272" s="9">
        <f>($F$11-$G$11)*COS(2*PI()*$J$11*$I$11*B272/$L$11)+($G$11/$H$11)*COS((($F$11-$G$11)/$G$11)*2*PI()*$I$11*B272/$L$11)</f>
        <v>1</v>
      </c>
      <c r="D272" s="9">
        <f>($F$11-$G$11)*SIN(2*PI()*$K$11*$I$11*B272/$L$11)-($G$11/$H$11)*SIN((($F$11-$G$11)/$G$11)*2*PI()*$I$11*B272/$L$11)</f>
        <v>0</v>
      </c>
    </row>
    <row r="273" spans="2:4" x14ac:dyDescent="0.45">
      <c r="B273" s="1">
        <v>263</v>
      </c>
      <c r="C273" s="9">
        <f>($F$11-$G$11)*COS(2*PI()*$J$11*$I$11*B273/$L$11)+($G$11/$H$11)*COS((($F$11-$G$11)/$G$11)*2*PI()*$I$11*B273/$L$11)</f>
        <v>1</v>
      </c>
      <c r="D273" s="9">
        <f>($F$11-$G$11)*SIN(2*PI()*$K$11*$I$11*B273/$L$11)-($G$11/$H$11)*SIN((($F$11-$G$11)/$G$11)*2*PI()*$I$11*B273/$L$11)</f>
        <v>0</v>
      </c>
    </row>
    <row r="274" spans="2:4" x14ac:dyDescent="0.45">
      <c r="B274" s="1">
        <v>264</v>
      </c>
      <c r="C274" s="9">
        <f>($F$11-$G$11)*COS(2*PI()*$J$11*$I$11*B274/$L$11)+($G$11/$H$11)*COS((($F$11-$G$11)/$G$11)*2*PI()*$I$11*B274/$L$11)</f>
        <v>1</v>
      </c>
      <c r="D274" s="9">
        <f>($F$11-$G$11)*SIN(2*PI()*$K$11*$I$11*B274/$L$11)-($G$11/$H$11)*SIN((($F$11-$G$11)/$G$11)*2*PI()*$I$11*B274/$L$11)</f>
        <v>0</v>
      </c>
    </row>
    <row r="275" spans="2:4" x14ac:dyDescent="0.45">
      <c r="B275" s="1">
        <v>265</v>
      </c>
      <c r="C275" s="9">
        <f>($F$11-$G$11)*COS(2*PI()*$J$11*$I$11*B275/$L$11)+($G$11/$H$11)*COS((($F$11-$G$11)/$G$11)*2*PI()*$I$11*B275/$L$11)</f>
        <v>1</v>
      </c>
      <c r="D275" s="9">
        <f>($F$11-$G$11)*SIN(2*PI()*$K$11*$I$11*B275/$L$11)-($G$11/$H$11)*SIN((($F$11-$G$11)/$G$11)*2*PI()*$I$11*B275/$L$11)</f>
        <v>0</v>
      </c>
    </row>
    <row r="276" spans="2:4" x14ac:dyDescent="0.45">
      <c r="B276" s="1">
        <v>266</v>
      </c>
      <c r="C276" s="9">
        <f>($F$11-$G$11)*COS(2*PI()*$J$11*$I$11*B276/$L$11)+($G$11/$H$11)*COS((($F$11-$G$11)/$G$11)*2*PI()*$I$11*B276/$L$11)</f>
        <v>1</v>
      </c>
      <c r="D276" s="9">
        <f>($F$11-$G$11)*SIN(2*PI()*$K$11*$I$11*B276/$L$11)-($G$11/$H$11)*SIN((($F$11-$G$11)/$G$11)*2*PI()*$I$11*B276/$L$11)</f>
        <v>0</v>
      </c>
    </row>
    <row r="277" spans="2:4" x14ac:dyDescent="0.45">
      <c r="B277" s="1">
        <v>267</v>
      </c>
      <c r="C277" s="9">
        <f>($F$11-$G$11)*COS(2*PI()*$J$11*$I$11*B277/$L$11)+($G$11/$H$11)*COS((($F$11-$G$11)/$G$11)*2*PI()*$I$11*B277/$L$11)</f>
        <v>1</v>
      </c>
      <c r="D277" s="9">
        <f>($F$11-$G$11)*SIN(2*PI()*$K$11*$I$11*B277/$L$11)-($G$11/$H$11)*SIN((($F$11-$G$11)/$G$11)*2*PI()*$I$11*B277/$L$11)</f>
        <v>0</v>
      </c>
    </row>
    <row r="278" spans="2:4" x14ac:dyDescent="0.45">
      <c r="B278" s="1">
        <v>268</v>
      </c>
      <c r="C278" s="9">
        <f>($F$11-$G$11)*COS(2*PI()*$J$11*$I$11*B278/$L$11)+($G$11/$H$11)*COS((($F$11-$G$11)/$G$11)*2*PI()*$I$11*B278/$L$11)</f>
        <v>1</v>
      </c>
      <c r="D278" s="9">
        <f>($F$11-$G$11)*SIN(2*PI()*$K$11*$I$11*B278/$L$11)-($G$11/$H$11)*SIN((($F$11-$G$11)/$G$11)*2*PI()*$I$11*B278/$L$11)</f>
        <v>0</v>
      </c>
    </row>
    <row r="279" spans="2:4" x14ac:dyDescent="0.45">
      <c r="B279" s="1">
        <v>269</v>
      </c>
      <c r="C279" s="9">
        <f>($F$11-$G$11)*COS(2*PI()*$J$11*$I$11*B279/$L$11)+($G$11/$H$11)*COS((($F$11-$G$11)/$G$11)*2*PI()*$I$11*B279/$L$11)</f>
        <v>1</v>
      </c>
      <c r="D279" s="9">
        <f>($F$11-$G$11)*SIN(2*PI()*$K$11*$I$11*B279/$L$11)-($G$11/$H$11)*SIN((($F$11-$G$11)/$G$11)*2*PI()*$I$11*B279/$L$11)</f>
        <v>0</v>
      </c>
    </row>
    <row r="280" spans="2:4" x14ac:dyDescent="0.45">
      <c r="B280" s="1">
        <v>270</v>
      </c>
      <c r="C280" s="9">
        <f>($F$11-$G$11)*COS(2*PI()*$J$11*$I$11*B280/$L$11)+($G$11/$H$11)*COS((($F$11-$G$11)/$G$11)*2*PI()*$I$11*B280/$L$11)</f>
        <v>1</v>
      </c>
      <c r="D280" s="9">
        <f>($F$11-$G$11)*SIN(2*PI()*$K$11*$I$11*B280/$L$11)-($G$11/$H$11)*SIN((($F$11-$G$11)/$G$11)*2*PI()*$I$11*B280/$L$11)</f>
        <v>0</v>
      </c>
    </row>
    <row r="281" spans="2:4" x14ac:dyDescent="0.45">
      <c r="B281" s="1">
        <v>271</v>
      </c>
      <c r="C281" s="9">
        <f>($F$11-$G$11)*COS(2*PI()*$J$11*$I$11*B281/$L$11)+($G$11/$H$11)*COS((($F$11-$G$11)/$G$11)*2*PI()*$I$11*B281/$L$11)</f>
        <v>1</v>
      </c>
      <c r="D281" s="9">
        <f>($F$11-$G$11)*SIN(2*PI()*$K$11*$I$11*B281/$L$11)-($G$11/$H$11)*SIN((($F$11-$G$11)/$G$11)*2*PI()*$I$11*B281/$L$11)</f>
        <v>0</v>
      </c>
    </row>
    <row r="282" spans="2:4" x14ac:dyDescent="0.45">
      <c r="B282" s="1">
        <v>272</v>
      </c>
      <c r="C282" s="9">
        <f>($F$11-$G$11)*COS(2*PI()*$J$11*$I$11*B282/$L$11)+($G$11/$H$11)*COS((($F$11-$G$11)/$G$11)*2*PI()*$I$11*B282/$L$11)</f>
        <v>1</v>
      </c>
      <c r="D282" s="9">
        <f>($F$11-$G$11)*SIN(2*PI()*$K$11*$I$11*B282/$L$11)-($G$11/$H$11)*SIN((($F$11-$G$11)/$G$11)*2*PI()*$I$11*B282/$L$11)</f>
        <v>0</v>
      </c>
    </row>
    <row r="283" spans="2:4" x14ac:dyDescent="0.45">
      <c r="B283" s="1">
        <v>273</v>
      </c>
      <c r="C283" s="9">
        <f>($F$11-$G$11)*COS(2*PI()*$J$11*$I$11*B283/$L$11)+($G$11/$H$11)*COS((($F$11-$G$11)/$G$11)*2*PI()*$I$11*B283/$L$11)</f>
        <v>1</v>
      </c>
      <c r="D283" s="9">
        <f>($F$11-$G$11)*SIN(2*PI()*$K$11*$I$11*B283/$L$11)-($G$11/$H$11)*SIN((($F$11-$G$11)/$G$11)*2*PI()*$I$11*B283/$L$11)</f>
        <v>0</v>
      </c>
    </row>
    <row r="284" spans="2:4" x14ac:dyDescent="0.45">
      <c r="B284" s="1">
        <v>274</v>
      </c>
      <c r="C284" s="9">
        <f>($F$11-$G$11)*COS(2*PI()*$J$11*$I$11*B284/$L$11)+($G$11/$H$11)*COS((($F$11-$G$11)/$G$11)*2*PI()*$I$11*B284/$L$11)</f>
        <v>1</v>
      </c>
      <c r="D284" s="9">
        <f>($F$11-$G$11)*SIN(2*PI()*$K$11*$I$11*B284/$L$11)-($G$11/$H$11)*SIN((($F$11-$G$11)/$G$11)*2*PI()*$I$11*B284/$L$11)</f>
        <v>0</v>
      </c>
    </row>
    <row r="285" spans="2:4" x14ac:dyDescent="0.45">
      <c r="B285" s="1">
        <v>275</v>
      </c>
      <c r="C285" s="9">
        <f>($F$11-$G$11)*COS(2*PI()*$J$11*$I$11*B285/$L$11)+($G$11/$H$11)*COS((($F$11-$G$11)/$G$11)*2*PI()*$I$11*B285/$L$11)</f>
        <v>1</v>
      </c>
      <c r="D285" s="9">
        <f>($F$11-$G$11)*SIN(2*PI()*$K$11*$I$11*B285/$L$11)-($G$11/$H$11)*SIN((($F$11-$G$11)/$G$11)*2*PI()*$I$11*B285/$L$11)</f>
        <v>0</v>
      </c>
    </row>
    <row r="286" spans="2:4" x14ac:dyDescent="0.45">
      <c r="B286" s="1">
        <v>276</v>
      </c>
      <c r="C286" s="9">
        <f>($F$11-$G$11)*COS(2*PI()*$J$11*$I$11*B286/$L$11)+($G$11/$H$11)*COS((($F$11-$G$11)/$G$11)*2*PI()*$I$11*B286/$L$11)</f>
        <v>1</v>
      </c>
      <c r="D286" s="9">
        <f>($F$11-$G$11)*SIN(2*PI()*$K$11*$I$11*B286/$L$11)-($G$11/$H$11)*SIN((($F$11-$G$11)/$G$11)*2*PI()*$I$11*B286/$L$11)</f>
        <v>0</v>
      </c>
    </row>
    <row r="287" spans="2:4" x14ac:dyDescent="0.45">
      <c r="B287" s="1">
        <v>277</v>
      </c>
      <c r="C287" s="9">
        <f>($F$11-$G$11)*COS(2*PI()*$J$11*$I$11*B287/$L$11)+($G$11/$H$11)*COS((($F$11-$G$11)/$G$11)*2*PI()*$I$11*B287/$L$11)</f>
        <v>1</v>
      </c>
      <c r="D287" s="9">
        <f>($F$11-$G$11)*SIN(2*PI()*$K$11*$I$11*B287/$L$11)-($G$11/$H$11)*SIN((($F$11-$G$11)/$G$11)*2*PI()*$I$11*B287/$L$11)</f>
        <v>0</v>
      </c>
    </row>
    <row r="288" spans="2:4" x14ac:dyDescent="0.45">
      <c r="B288" s="1">
        <v>278</v>
      </c>
      <c r="C288" s="9">
        <f>($F$11-$G$11)*COS(2*PI()*$J$11*$I$11*B288/$L$11)+($G$11/$H$11)*COS((($F$11-$G$11)/$G$11)*2*PI()*$I$11*B288/$L$11)</f>
        <v>1</v>
      </c>
      <c r="D288" s="9">
        <f>($F$11-$G$11)*SIN(2*PI()*$K$11*$I$11*B288/$L$11)-($G$11/$H$11)*SIN((($F$11-$G$11)/$G$11)*2*PI()*$I$11*B288/$L$11)</f>
        <v>0</v>
      </c>
    </row>
    <row r="289" spans="2:4" x14ac:dyDescent="0.45">
      <c r="B289" s="1">
        <v>279</v>
      </c>
      <c r="C289" s="9">
        <f>($F$11-$G$11)*COS(2*PI()*$J$11*$I$11*B289/$L$11)+($G$11/$H$11)*COS((($F$11-$G$11)/$G$11)*2*PI()*$I$11*B289/$L$11)</f>
        <v>1</v>
      </c>
      <c r="D289" s="9">
        <f>($F$11-$G$11)*SIN(2*PI()*$K$11*$I$11*B289/$L$11)-($G$11/$H$11)*SIN((($F$11-$G$11)/$G$11)*2*PI()*$I$11*B289/$L$11)</f>
        <v>0</v>
      </c>
    </row>
    <row r="290" spans="2:4" x14ac:dyDescent="0.45">
      <c r="B290" s="1">
        <v>280</v>
      </c>
      <c r="C290" s="9">
        <f>($F$11-$G$11)*COS(2*PI()*$J$11*$I$11*B290/$L$11)+($G$11/$H$11)*COS((($F$11-$G$11)/$G$11)*2*PI()*$I$11*B290/$L$11)</f>
        <v>1</v>
      </c>
      <c r="D290" s="9">
        <f>($F$11-$G$11)*SIN(2*PI()*$K$11*$I$11*B290/$L$11)-($G$11/$H$11)*SIN((($F$11-$G$11)/$G$11)*2*PI()*$I$11*B290/$L$11)</f>
        <v>0</v>
      </c>
    </row>
    <row r="291" spans="2:4" x14ac:dyDescent="0.45">
      <c r="B291" s="1">
        <v>281</v>
      </c>
      <c r="C291" s="9">
        <f>($F$11-$G$11)*COS(2*PI()*$J$11*$I$11*B291/$L$11)+($G$11/$H$11)*COS((($F$11-$G$11)/$G$11)*2*PI()*$I$11*B291/$L$11)</f>
        <v>1</v>
      </c>
      <c r="D291" s="9">
        <f>($F$11-$G$11)*SIN(2*PI()*$K$11*$I$11*B291/$L$11)-($G$11/$H$11)*SIN((($F$11-$G$11)/$G$11)*2*PI()*$I$11*B291/$L$11)</f>
        <v>0</v>
      </c>
    </row>
    <row r="292" spans="2:4" x14ac:dyDescent="0.45">
      <c r="B292" s="1">
        <v>282</v>
      </c>
      <c r="C292" s="9">
        <f>($F$11-$G$11)*COS(2*PI()*$J$11*$I$11*B292/$L$11)+($G$11/$H$11)*COS((($F$11-$G$11)/$G$11)*2*PI()*$I$11*B292/$L$11)</f>
        <v>1</v>
      </c>
      <c r="D292" s="9">
        <f>($F$11-$G$11)*SIN(2*PI()*$K$11*$I$11*B292/$L$11)-($G$11/$H$11)*SIN((($F$11-$G$11)/$G$11)*2*PI()*$I$11*B292/$L$11)</f>
        <v>0</v>
      </c>
    </row>
    <row r="293" spans="2:4" x14ac:dyDescent="0.45">
      <c r="B293" s="1">
        <v>283</v>
      </c>
      <c r="C293" s="9">
        <f>($F$11-$G$11)*COS(2*PI()*$J$11*$I$11*B293/$L$11)+($G$11/$H$11)*COS((($F$11-$G$11)/$G$11)*2*PI()*$I$11*B293/$L$11)</f>
        <v>1</v>
      </c>
      <c r="D293" s="9">
        <f>($F$11-$G$11)*SIN(2*PI()*$K$11*$I$11*B293/$L$11)-($G$11/$H$11)*SIN((($F$11-$G$11)/$G$11)*2*PI()*$I$11*B293/$L$11)</f>
        <v>0</v>
      </c>
    </row>
    <row r="294" spans="2:4" x14ac:dyDescent="0.45">
      <c r="B294" s="1">
        <v>284</v>
      </c>
      <c r="C294" s="9">
        <f>($F$11-$G$11)*COS(2*PI()*$J$11*$I$11*B294/$L$11)+($G$11/$H$11)*COS((($F$11-$G$11)/$G$11)*2*PI()*$I$11*B294/$L$11)</f>
        <v>1</v>
      </c>
      <c r="D294" s="9">
        <f>($F$11-$G$11)*SIN(2*PI()*$K$11*$I$11*B294/$L$11)-($G$11/$H$11)*SIN((($F$11-$G$11)/$G$11)*2*PI()*$I$11*B294/$L$11)</f>
        <v>0</v>
      </c>
    </row>
    <row r="295" spans="2:4" x14ac:dyDescent="0.45">
      <c r="B295" s="1">
        <v>285</v>
      </c>
      <c r="C295" s="9">
        <f>($F$11-$G$11)*COS(2*PI()*$J$11*$I$11*B295/$L$11)+($G$11/$H$11)*COS((($F$11-$G$11)/$G$11)*2*PI()*$I$11*B295/$L$11)</f>
        <v>1</v>
      </c>
      <c r="D295" s="9">
        <f>($F$11-$G$11)*SIN(2*PI()*$K$11*$I$11*B295/$L$11)-($G$11/$H$11)*SIN((($F$11-$G$11)/$G$11)*2*PI()*$I$11*B295/$L$11)</f>
        <v>0</v>
      </c>
    </row>
    <row r="296" spans="2:4" x14ac:dyDescent="0.45">
      <c r="B296" s="1">
        <v>286</v>
      </c>
      <c r="C296" s="9">
        <f>($F$11-$G$11)*COS(2*PI()*$J$11*$I$11*B296/$L$11)+($G$11/$H$11)*COS((($F$11-$G$11)/$G$11)*2*PI()*$I$11*B296/$L$11)</f>
        <v>1</v>
      </c>
      <c r="D296" s="9">
        <f>($F$11-$G$11)*SIN(2*PI()*$K$11*$I$11*B296/$L$11)-($G$11/$H$11)*SIN((($F$11-$G$11)/$G$11)*2*PI()*$I$11*B296/$L$11)</f>
        <v>0</v>
      </c>
    </row>
    <row r="297" spans="2:4" x14ac:dyDescent="0.45">
      <c r="B297" s="1">
        <v>287</v>
      </c>
      <c r="C297" s="9">
        <f>($F$11-$G$11)*COS(2*PI()*$J$11*$I$11*B297/$L$11)+($G$11/$H$11)*COS((($F$11-$G$11)/$G$11)*2*PI()*$I$11*B297/$L$11)</f>
        <v>1</v>
      </c>
      <c r="D297" s="9">
        <f>($F$11-$G$11)*SIN(2*PI()*$K$11*$I$11*B297/$L$11)-($G$11/$H$11)*SIN((($F$11-$G$11)/$G$11)*2*PI()*$I$11*B297/$L$11)</f>
        <v>0</v>
      </c>
    </row>
    <row r="298" spans="2:4" x14ac:dyDescent="0.45">
      <c r="B298" s="1">
        <v>288</v>
      </c>
      <c r="C298" s="9">
        <f>($F$11-$G$11)*COS(2*PI()*$J$11*$I$11*B298/$L$11)+($G$11/$H$11)*COS((($F$11-$G$11)/$G$11)*2*PI()*$I$11*B298/$L$11)</f>
        <v>1</v>
      </c>
      <c r="D298" s="9">
        <f>($F$11-$G$11)*SIN(2*PI()*$K$11*$I$11*B298/$L$11)-($G$11/$H$11)*SIN((($F$11-$G$11)/$G$11)*2*PI()*$I$11*B298/$L$11)</f>
        <v>0</v>
      </c>
    </row>
    <row r="299" spans="2:4" x14ac:dyDescent="0.45">
      <c r="B299" s="1">
        <v>289</v>
      </c>
      <c r="C299" s="9">
        <f>($F$11-$G$11)*COS(2*PI()*$J$11*$I$11*B299/$L$11)+($G$11/$H$11)*COS((($F$11-$G$11)/$G$11)*2*PI()*$I$11*B299/$L$11)</f>
        <v>1</v>
      </c>
      <c r="D299" s="9">
        <f>($F$11-$G$11)*SIN(2*PI()*$K$11*$I$11*B299/$L$11)-($G$11/$H$11)*SIN((($F$11-$G$11)/$G$11)*2*PI()*$I$11*B299/$L$11)</f>
        <v>0</v>
      </c>
    </row>
    <row r="300" spans="2:4" x14ac:dyDescent="0.45">
      <c r="B300" s="1">
        <v>290</v>
      </c>
      <c r="C300" s="9">
        <f>($F$11-$G$11)*COS(2*PI()*$J$11*$I$11*B300/$L$11)+($G$11/$H$11)*COS((($F$11-$G$11)/$G$11)*2*PI()*$I$11*B300/$L$11)</f>
        <v>1</v>
      </c>
      <c r="D300" s="9">
        <f>($F$11-$G$11)*SIN(2*PI()*$K$11*$I$11*B300/$L$11)-($G$11/$H$11)*SIN((($F$11-$G$11)/$G$11)*2*PI()*$I$11*B300/$L$11)</f>
        <v>0</v>
      </c>
    </row>
    <row r="301" spans="2:4" x14ac:dyDescent="0.45">
      <c r="B301" s="1">
        <v>291</v>
      </c>
      <c r="C301" s="9">
        <f>($F$11-$G$11)*COS(2*PI()*$J$11*$I$11*B301/$L$11)+($G$11/$H$11)*COS((($F$11-$G$11)/$G$11)*2*PI()*$I$11*B301/$L$11)</f>
        <v>1</v>
      </c>
      <c r="D301" s="9">
        <f>($F$11-$G$11)*SIN(2*PI()*$K$11*$I$11*B301/$L$11)-($G$11/$H$11)*SIN((($F$11-$G$11)/$G$11)*2*PI()*$I$11*B301/$L$11)</f>
        <v>0</v>
      </c>
    </row>
    <row r="302" spans="2:4" x14ac:dyDescent="0.45">
      <c r="B302" s="1">
        <v>292</v>
      </c>
      <c r="C302" s="9">
        <f>($F$11-$G$11)*COS(2*PI()*$J$11*$I$11*B302/$L$11)+($G$11/$H$11)*COS((($F$11-$G$11)/$G$11)*2*PI()*$I$11*B302/$L$11)</f>
        <v>1</v>
      </c>
      <c r="D302" s="9">
        <f>($F$11-$G$11)*SIN(2*PI()*$K$11*$I$11*B302/$L$11)-($G$11/$H$11)*SIN((($F$11-$G$11)/$G$11)*2*PI()*$I$11*B302/$L$11)</f>
        <v>0</v>
      </c>
    </row>
    <row r="303" spans="2:4" x14ac:dyDescent="0.45">
      <c r="B303" s="1">
        <v>293</v>
      </c>
      <c r="C303" s="9">
        <f>($F$11-$G$11)*COS(2*PI()*$J$11*$I$11*B303/$L$11)+($G$11/$H$11)*COS((($F$11-$G$11)/$G$11)*2*PI()*$I$11*B303/$L$11)</f>
        <v>1</v>
      </c>
      <c r="D303" s="9">
        <f>($F$11-$G$11)*SIN(2*PI()*$K$11*$I$11*B303/$L$11)-($G$11/$H$11)*SIN((($F$11-$G$11)/$G$11)*2*PI()*$I$11*B303/$L$11)</f>
        <v>0</v>
      </c>
    </row>
    <row r="304" spans="2:4" x14ac:dyDescent="0.45">
      <c r="B304" s="1">
        <v>294</v>
      </c>
      <c r="C304" s="9">
        <f>($F$11-$G$11)*COS(2*PI()*$J$11*$I$11*B304/$L$11)+($G$11/$H$11)*COS((($F$11-$G$11)/$G$11)*2*PI()*$I$11*B304/$L$11)</f>
        <v>1</v>
      </c>
      <c r="D304" s="9">
        <f>($F$11-$G$11)*SIN(2*PI()*$K$11*$I$11*B304/$L$11)-($G$11/$H$11)*SIN((($F$11-$G$11)/$G$11)*2*PI()*$I$11*B304/$L$11)</f>
        <v>0</v>
      </c>
    </row>
    <row r="305" spans="2:4" x14ac:dyDescent="0.45">
      <c r="B305" s="1">
        <v>295</v>
      </c>
      <c r="C305" s="9">
        <f>($F$11-$G$11)*COS(2*PI()*$J$11*$I$11*B305/$L$11)+($G$11/$H$11)*COS((($F$11-$G$11)/$G$11)*2*PI()*$I$11*B305/$L$11)</f>
        <v>1</v>
      </c>
      <c r="D305" s="9">
        <f>($F$11-$G$11)*SIN(2*PI()*$K$11*$I$11*B305/$L$11)-($G$11/$H$11)*SIN((($F$11-$G$11)/$G$11)*2*PI()*$I$11*B305/$L$11)</f>
        <v>0</v>
      </c>
    </row>
    <row r="306" spans="2:4" x14ac:dyDescent="0.45">
      <c r="B306" s="1">
        <v>296</v>
      </c>
      <c r="C306" s="9">
        <f>($F$11-$G$11)*COS(2*PI()*$J$11*$I$11*B306/$L$11)+($G$11/$H$11)*COS((($F$11-$G$11)/$G$11)*2*PI()*$I$11*B306/$L$11)</f>
        <v>1</v>
      </c>
      <c r="D306" s="9">
        <f>($F$11-$G$11)*SIN(2*PI()*$K$11*$I$11*B306/$L$11)-($G$11/$H$11)*SIN((($F$11-$G$11)/$G$11)*2*PI()*$I$11*B306/$L$11)</f>
        <v>0</v>
      </c>
    </row>
    <row r="307" spans="2:4" x14ac:dyDescent="0.45">
      <c r="B307" s="1">
        <v>297</v>
      </c>
      <c r="C307" s="9">
        <f>($F$11-$G$11)*COS(2*PI()*$J$11*$I$11*B307/$L$11)+($G$11/$H$11)*COS((($F$11-$G$11)/$G$11)*2*PI()*$I$11*B307/$L$11)</f>
        <v>1</v>
      </c>
      <c r="D307" s="9">
        <f>($F$11-$G$11)*SIN(2*PI()*$K$11*$I$11*B307/$L$11)-($G$11/$H$11)*SIN((($F$11-$G$11)/$G$11)*2*PI()*$I$11*B307/$L$11)</f>
        <v>0</v>
      </c>
    </row>
    <row r="308" spans="2:4" x14ac:dyDescent="0.45">
      <c r="B308" s="1">
        <v>298</v>
      </c>
      <c r="C308" s="9">
        <f>($F$11-$G$11)*COS(2*PI()*$J$11*$I$11*B308/$L$11)+($G$11/$H$11)*COS((($F$11-$G$11)/$G$11)*2*PI()*$I$11*B308/$L$11)</f>
        <v>1</v>
      </c>
      <c r="D308" s="9">
        <f>($F$11-$G$11)*SIN(2*PI()*$K$11*$I$11*B308/$L$11)-($G$11/$H$11)*SIN((($F$11-$G$11)/$G$11)*2*PI()*$I$11*B308/$L$11)</f>
        <v>0</v>
      </c>
    </row>
    <row r="309" spans="2:4" x14ac:dyDescent="0.45">
      <c r="B309" s="1">
        <v>299</v>
      </c>
      <c r="C309" s="9">
        <f>($F$11-$G$11)*COS(2*PI()*$J$11*$I$11*B309/$L$11)+($G$11/$H$11)*COS((($F$11-$G$11)/$G$11)*2*PI()*$I$11*B309/$L$11)</f>
        <v>1</v>
      </c>
      <c r="D309" s="9">
        <f>($F$11-$G$11)*SIN(2*PI()*$K$11*$I$11*B309/$L$11)-($G$11/$H$11)*SIN((($F$11-$G$11)/$G$11)*2*PI()*$I$11*B309/$L$11)</f>
        <v>0</v>
      </c>
    </row>
    <row r="310" spans="2:4" x14ac:dyDescent="0.45">
      <c r="B310" s="1">
        <v>300</v>
      </c>
      <c r="C310" s="9">
        <f>($F$11-$G$11)*COS(2*PI()*$J$11*$I$11*B310/$L$11)+($G$11/$H$11)*COS((($F$11-$G$11)/$G$11)*2*PI()*$I$11*B310/$L$11)</f>
        <v>1</v>
      </c>
      <c r="D310" s="9">
        <f>($F$11-$G$11)*SIN(2*PI()*$K$11*$I$11*B310/$L$11)-($G$11/$H$11)*SIN((($F$11-$G$11)/$G$11)*2*PI()*$I$11*B310/$L$11)</f>
        <v>0</v>
      </c>
    </row>
    <row r="311" spans="2:4" x14ac:dyDescent="0.45">
      <c r="B311" s="1">
        <v>301</v>
      </c>
      <c r="C311" s="9">
        <f>($F$11-$G$11)*COS(2*PI()*$J$11*$I$11*B311/$L$11)+($G$11/$H$11)*COS((($F$11-$G$11)/$G$11)*2*PI()*$I$11*B311/$L$11)</f>
        <v>1</v>
      </c>
      <c r="D311" s="9">
        <f>($F$11-$G$11)*SIN(2*PI()*$K$11*$I$11*B311/$L$11)-($G$11/$H$11)*SIN((($F$11-$G$11)/$G$11)*2*PI()*$I$11*B311/$L$11)</f>
        <v>0</v>
      </c>
    </row>
    <row r="312" spans="2:4" x14ac:dyDescent="0.45">
      <c r="B312" s="1">
        <v>302</v>
      </c>
      <c r="C312" s="9">
        <f>($F$11-$G$11)*COS(2*PI()*$J$11*$I$11*B312/$L$11)+($G$11/$H$11)*COS((($F$11-$G$11)/$G$11)*2*PI()*$I$11*B312/$L$11)</f>
        <v>1</v>
      </c>
      <c r="D312" s="9">
        <f>($F$11-$G$11)*SIN(2*PI()*$K$11*$I$11*B312/$L$11)-($G$11/$H$11)*SIN((($F$11-$G$11)/$G$11)*2*PI()*$I$11*B312/$L$11)</f>
        <v>0</v>
      </c>
    </row>
    <row r="313" spans="2:4" x14ac:dyDescent="0.45">
      <c r="B313" s="1">
        <v>303</v>
      </c>
      <c r="C313" s="9">
        <f>($F$11-$G$11)*COS(2*PI()*$J$11*$I$11*B313/$L$11)+($G$11/$H$11)*COS((($F$11-$G$11)/$G$11)*2*PI()*$I$11*B313/$L$11)</f>
        <v>1</v>
      </c>
      <c r="D313" s="9">
        <f>($F$11-$G$11)*SIN(2*PI()*$K$11*$I$11*B313/$L$11)-($G$11/$H$11)*SIN((($F$11-$G$11)/$G$11)*2*PI()*$I$11*B313/$L$11)</f>
        <v>0</v>
      </c>
    </row>
    <row r="314" spans="2:4" x14ac:dyDescent="0.45">
      <c r="B314" s="1">
        <v>304</v>
      </c>
      <c r="C314" s="9">
        <f>($F$11-$G$11)*COS(2*PI()*$J$11*$I$11*B314/$L$11)+($G$11/$H$11)*COS((($F$11-$G$11)/$G$11)*2*PI()*$I$11*B314/$L$11)</f>
        <v>1</v>
      </c>
      <c r="D314" s="9">
        <f>($F$11-$G$11)*SIN(2*PI()*$K$11*$I$11*B314/$L$11)-($G$11/$H$11)*SIN((($F$11-$G$11)/$G$11)*2*PI()*$I$11*B314/$L$11)</f>
        <v>0</v>
      </c>
    </row>
    <row r="315" spans="2:4" x14ac:dyDescent="0.45">
      <c r="B315" s="1">
        <v>305</v>
      </c>
      <c r="C315" s="9">
        <f>($F$11-$G$11)*COS(2*PI()*$J$11*$I$11*B315/$L$11)+($G$11/$H$11)*COS((($F$11-$G$11)/$G$11)*2*PI()*$I$11*B315/$L$11)</f>
        <v>1</v>
      </c>
      <c r="D315" s="9">
        <f>($F$11-$G$11)*SIN(2*PI()*$K$11*$I$11*B315/$L$11)-($G$11/$H$11)*SIN((($F$11-$G$11)/$G$11)*2*PI()*$I$11*B315/$L$11)</f>
        <v>0</v>
      </c>
    </row>
    <row r="316" spans="2:4" x14ac:dyDescent="0.45">
      <c r="B316" s="1">
        <v>306</v>
      </c>
      <c r="C316" s="9">
        <f>($F$11-$G$11)*COS(2*PI()*$J$11*$I$11*B316/$L$11)+($G$11/$H$11)*COS((($F$11-$G$11)/$G$11)*2*PI()*$I$11*B316/$L$11)</f>
        <v>1</v>
      </c>
      <c r="D316" s="9">
        <f>($F$11-$G$11)*SIN(2*PI()*$K$11*$I$11*B316/$L$11)-($G$11/$H$11)*SIN((($F$11-$G$11)/$G$11)*2*PI()*$I$11*B316/$L$11)</f>
        <v>0</v>
      </c>
    </row>
    <row r="317" spans="2:4" x14ac:dyDescent="0.45">
      <c r="B317" s="1">
        <v>307</v>
      </c>
      <c r="C317" s="9">
        <f>($F$11-$G$11)*COS(2*PI()*$J$11*$I$11*B317/$L$11)+($G$11/$H$11)*COS((($F$11-$G$11)/$G$11)*2*PI()*$I$11*B317/$L$11)</f>
        <v>1</v>
      </c>
      <c r="D317" s="9">
        <f>($F$11-$G$11)*SIN(2*PI()*$K$11*$I$11*B317/$L$11)-($G$11/$H$11)*SIN((($F$11-$G$11)/$G$11)*2*PI()*$I$11*B317/$L$11)</f>
        <v>0</v>
      </c>
    </row>
    <row r="318" spans="2:4" x14ac:dyDescent="0.45">
      <c r="B318" s="1">
        <v>308</v>
      </c>
      <c r="C318" s="9">
        <f>($F$11-$G$11)*COS(2*PI()*$J$11*$I$11*B318/$L$11)+($G$11/$H$11)*COS((($F$11-$G$11)/$G$11)*2*PI()*$I$11*B318/$L$11)</f>
        <v>1</v>
      </c>
      <c r="D318" s="9">
        <f>($F$11-$G$11)*SIN(2*PI()*$K$11*$I$11*B318/$L$11)-($G$11/$H$11)*SIN((($F$11-$G$11)/$G$11)*2*PI()*$I$11*B318/$L$11)</f>
        <v>0</v>
      </c>
    </row>
    <row r="319" spans="2:4" x14ac:dyDescent="0.45">
      <c r="B319" s="1">
        <v>309</v>
      </c>
      <c r="C319" s="9">
        <f>($F$11-$G$11)*COS(2*PI()*$J$11*$I$11*B319/$L$11)+($G$11/$H$11)*COS((($F$11-$G$11)/$G$11)*2*PI()*$I$11*B319/$L$11)</f>
        <v>1</v>
      </c>
      <c r="D319" s="9">
        <f>($F$11-$G$11)*SIN(2*PI()*$K$11*$I$11*B319/$L$11)-($G$11/$H$11)*SIN((($F$11-$G$11)/$G$11)*2*PI()*$I$11*B319/$L$11)</f>
        <v>0</v>
      </c>
    </row>
    <row r="320" spans="2:4" x14ac:dyDescent="0.45">
      <c r="B320" s="1">
        <v>310</v>
      </c>
      <c r="C320" s="9">
        <f>($F$11-$G$11)*COS(2*PI()*$J$11*$I$11*B320/$L$11)+($G$11/$H$11)*COS((($F$11-$G$11)/$G$11)*2*PI()*$I$11*B320/$L$11)</f>
        <v>1</v>
      </c>
      <c r="D320" s="9">
        <f>($F$11-$G$11)*SIN(2*PI()*$K$11*$I$11*B320/$L$11)-($G$11/$H$11)*SIN((($F$11-$G$11)/$G$11)*2*PI()*$I$11*B320/$L$11)</f>
        <v>0</v>
      </c>
    </row>
    <row r="321" spans="2:4" x14ac:dyDescent="0.45">
      <c r="B321" s="1">
        <v>311</v>
      </c>
      <c r="C321" s="9">
        <f>($F$11-$G$11)*COS(2*PI()*$J$11*$I$11*B321/$L$11)+($G$11/$H$11)*COS((($F$11-$G$11)/$G$11)*2*PI()*$I$11*B321/$L$11)</f>
        <v>1</v>
      </c>
      <c r="D321" s="9">
        <f>($F$11-$G$11)*SIN(2*PI()*$K$11*$I$11*B321/$L$11)-($G$11/$H$11)*SIN((($F$11-$G$11)/$G$11)*2*PI()*$I$11*B321/$L$11)</f>
        <v>0</v>
      </c>
    </row>
    <row r="322" spans="2:4" x14ac:dyDescent="0.45">
      <c r="B322" s="1">
        <v>312</v>
      </c>
      <c r="C322" s="9">
        <f>($F$11-$G$11)*COS(2*PI()*$J$11*$I$11*B322/$L$11)+($G$11/$H$11)*COS((($F$11-$G$11)/$G$11)*2*PI()*$I$11*B322/$L$11)</f>
        <v>1</v>
      </c>
      <c r="D322" s="9">
        <f>($F$11-$G$11)*SIN(2*PI()*$K$11*$I$11*B322/$L$11)-($G$11/$H$11)*SIN((($F$11-$G$11)/$G$11)*2*PI()*$I$11*B322/$L$11)</f>
        <v>0</v>
      </c>
    </row>
    <row r="323" spans="2:4" x14ac:dyDescent="0.45">
      <c r="B323" s="1">
        <v>313</v>
      </c>
      <c r="C323" s="9">
        <f>($F$11-$G$11)*COS(2*PI()*$J$11*$I$11*B323/$L$11)+($G$11/$H$11)*COS((($F$11-$G$11)/$G$11)*2*PI()*$I$11*B323/$L$11)</f>
        <v>1</v>
      </c>
      <c r="D323" s="9">
        <f>($F$11-$G$11)*SIN(2*PI()*$K$11*$I$11*B323/$L$11)-($G$11/$H$11)*SIN((($F$11-$G$11)/$G$11)*2*PI()*$I$11*B323/$L$11)</f>
        <v>0</v>
      </c>
    </row>
    <row r="324" spans="2:4" x14ac:dyDescent="0.45">
      <c r="B324" s="1">
        <v>314</v>
      </c>
      <c r="C324" s="9">
        <f>($F$11-$G$11)*COS(2*PI()*$J$11*$I$11*B324/$L$11)+($G$11/$H$11)*COS((($F$11-$G$11)/$G$11)*2*PI()*$I$11*B324/$L$11)</f>
        <v>1</v>
      </c>
      <c r="D324" s="9">
        <f>($F$11-$G$11)*SIN(2*PI()*$K$11*$I$11*B324/$L$11)-($G$11/$H$11)*SIN((($F$11-$G$11)/$G$11)*2*PI()*$I$11*B324/$L$11)</f>
        <v>0</v>
      </c>
    </row>
    <row r="325" spans="2:4" x14ac:dyDescent="0.45">
      <c r="B325" s="1">
        <v>315</v>
      </c>
      <c r="C325" s="9">
        <f>($F$11-$G$11)*COS(2*PI()*$J$11*$I$11*B325/$L$11)+($G$11/$H$11)*COS((($F$11-$G$11)/$G$11)*2*PI()*$I$11*B325/$L$11)</f>
        <v>1</v>
      </c>
      <c r="D325" s="9">
        <f>($F$11-$G$11)*SIN(2*PI()*$K$11*$I$11*B325/$L$11)-($G$11/$H$11)*SIN((($F$11-$G$11)/$G$11)*2*PI()*$I$11*B325/$L$11)</f>
        <v>0</v>
      </c>
    </row>
    <row r="326" spans="2:4" x14ac:dyDescent="0.45">
      <c r="B326" s="1">
        <v>316</v>
      </c>
      <c r="C326" s="9">
        <f>($F$11-$G$11)*COS(2*PI()*$J$11*$I$11*B326/$L$11)+($G$11/$H$11)*COS((($F$11-$G$11)/$G$11)*2*PI()*$I$11*B326/$L$11)</f>
        <v>1</v>
      </c>
      <c r="D326" s="9">
        <f>($F$11-$G$11)*SIN(2*PI()*$K$11*$I$11*B326/$L$11)-($G$11/$H$11)*SIN((($F$11-$G$11)/$G$11)*2*PI()*$I$11*B326/$L$11)</f>
        <v>0</v>
      </c>
    </row>
    <row r="327" spans="2:4" x14ac:dyDescent="0.45">
      <c r="B327" s="1">
        <v>317</v>
      </c>
      <c r="C327" s="9">
        <f>($F$11-$G$11)*COS(2*PI()*$J$11*$I$11*B327/$L$11)+($G$11/$H$11)*COS((($F$11-$G$11)/$G$11)*2*PI()*$I$11*B327/$L$11)</f>
        <v>1</v>
      </c>
      <c r="D327" s="9">
        <f>($F$11-$G$11)*SIN(2*PI()*$K$11*$I$11*B327/$L$11)-($G$11/$H$11)*SIN((($F$11-$G$11)/$G$11)*2*PI()*$I$11*B327/$L$11)</f>
        <v>0</v>
      </c>
    </row>
    <row r="328" spans="2:4" x14ac:dyDescent="0.45">
      <c r="B328" s="1">
        <v>318</v>
      </c>
      <c r="C328" s="9">
        <f>($F$11-$G$11)*COS(2*PI()*$J$11*$I$11*B328/$L$11)+($G$11/$H$11)*COS((($F$11-$G$11)/$G$11)*2*PI()*$I$11*B328/$L$11)</f>
        <v>1</v>
      </c>
      <c r="D328" s="9">
        <f>($F$11-$G$11)*SIN(2*PI()*$K$11*$I$11*B328/$L$11)-($G$11/$H$11)*SIN((($F$11-$G$11)/$G$11)*2*PI()*$I$11*B328/$L$11)</f>
        <v>0</v>
      </c>
    </row>
    <row r="329" spans="2:4" x14ac:dyDescent="0.45">
      <c r="B329" s="1">
        <v>319</v>
      </c>
      <c r="C329" s="9">
        <f>($F$11-$G$11)*COS(2*PI()*$J$11*$I$11*B329/$L$11)+($G$11/$H$11)*COS((($F$11-$G$11)/$G$11)*2*PI()*$I$11*B329/$L$11)</f>
        <v>1</v>
      </c>
      <c r="D329" s="9">
        <f>($F$11-$G$11)*SIN(2*PI()*$K$11*$I$11*B329/$L$11)-($G$11/$H$11)*SIN((($F$11-$G$11)/$G$11)*2*PI()*$I$11*B329/$L$11)</f>
        <v>0</v>
      </c>
    </row>
    <row r="330" spans="2:4" x14ac:dyDescent="0.45">
      <c r="B330" s="1">
        <v>320</v>
      </c>
      <c r="C330" s="9">
        <f>($F$11-$G$11)*COS(2*PI()*$J$11*$I$11*B330/$L$11)+($G$11/$H$11)*COS((($F$11-$G$11)/$G$11)*2*PI()*$I$11*B330/$L$11)</f>
        <v>1</v>
      </c>
      <c r="D330" s="9">
        <f>($F$11-$G$11)*SIN(2*PI()*$K$11*$I$11*B330/$L$11)-($G$11/$H$11)*SIN((($F$11-$G$11)/$G$11)*2*PI()*$I$11*B330/$L$11)</f>
        <v>0</v>
      </c>
    </row>
    <row r="331" spans="2:4" x14ac:dyDescent="0.45">
      <c r="B331" s="1">
        <v>321</v>
      </c>
      <c r="C331" s="9">
        <f>($F$11-$G$11)*COS(2*PI()*$J$11*$I$11*B331/$L$11)+($G$11/$H$11)*COS((($F$11-$G$11)/$G$11)*2*PI()*$I$11*B331/$L$11)</f>
        <v>1</v>
      </c>
      <c r="D331" s="9">
        <f>($F$11-$G$11)*SIN(2*PI()*$K$11*$I$11*B331/$L$11)-($G$11/$H$11)*SIN((($F$11-$G$11)/$G$11)*2*PI()*$I$11*B331/$L$11)</f>
        <v>0</v>
      </c>
    </row>
    <row r="332" spans="2:4" x14ac:dyDescent="0.45">
      <c r="B332" s="1">
        <v>322</v>
      </c>
      <c r="C332" s="9">
        <f>($F$11-$G$11)*COS(2*PI()*$J$11*$I$11*B332/$L$11)+($G$11/$H$11)*COS((($F$11-$G$11)/$G$11)*2*PI()*$I$11*B332/$L$11)</f>
        <v>1</v>
      </c>
      <c r="D332" s="9">
        <f>($F$11-$G$11)*SIN(2*PI()*$K$11*$I$11*B332/$L$11)-($G$11/$H$11)*SIN((($F$11-$G$11)/$G$11)*2*PI()*$I$11*B332/$L$11)</f>
        <v>0</v>
      </c>
    </row>
    <row r="333" spans="2:4" x14ac:dyDescent="0.45">
      <c r="B333" s="1">
        <v>323</v>
      </c>
      <c r="C333" s="9">
        <f>($F$11-$G$11)*COS(2*PI()*$J$11*$I$11*B333/$L$11)+($G$11/$H$11)*COS((($F$11-$G$11)/$G$11)*2*PI()*$I$11*B333/$L$11)</f>
        <v>1</v>
      </c>
      <c r="D333" s="9">
        <f>($F$11-$G$11)*SIN(2*PI()*$K$11*$I$11*B333/$L$11)-($G$11/$H$11)*SIN((($F$11-$G$11)/$G$11)*2*PI()*$I$11*B333/$L$11)</f>
        <v>0</v>
      </c>
    </row>
    <row r="334" spans="2:4" x14ac:dyDescent="0.45">
      <c r="B334" s="1">
        <v>324</v>
      </c>
      <c r="C334" s="9">
        <f>($F$11-$G$11)*COS(2*PI()*$J$11*$I$11*B334/$L$11)+($G$11/$H$11)*COS((($F$11-$G$11)/$G$11)*2*PI()*$I$11*B334/$L$11)</f>
        <v>1</v>
      </c>
      <c r="D334" s="9">
        <f>($F$11-$G$11)*SIN(2*PI()*$K$11*$I$11*B334/$L$11)-($G$11/$H$11)*SIN((($F$11-$G$11)/$G$11)*2*PI()*$I$11*B334/$L$11)</f>
        <v>0</v>
      </c>
    </row>
    <row r="335" spans="2:4" x14ac:dyDescent="0.45">
      <c r="B335" s="1">
        <v>325</v>
      </c>
      <c r="C335" s="9">
        <f>($F$11-$G$11)*COS(2*PI()*$J$11*$I$11*B335/$L$11)+($G$11/$H$11)*COS((($F$11-$G$11)/$G$11)*2*PI()*$I$11*B335/$L$11)</f>
        <v>1</v>
      </c>
      <c r="D335" s="9">
        <f>($F$11-$G$11)*SIN(2*PI()*$K$11*$I$11*B335/$L$11)-($G$11/$H$11)*SIN((($F$11-$G$11)/$G$11)*2*PI()*$I$11*B335/$L$11)</f>
        <v>0</v>
      </c>
    </row>
    <row r="336" spans="2:4" x14ac:dyDescent="0.45">
      <c r="B336" s="1">
        <v>326</v>
      </c>
      <c r="C336" s="9">
        <f>($F$11-$G$11)*COS(2*PI()*$J$11*$I$11*B336/$L$11)+($G$11/$H$11)*COS((($F$11-$G$11)/$G$11)*2*PI()*$I$11*B336/$L$11)</f>
        <v>1</v>
      </c>
      <c r="D336" s="9">
        <f>($F$11-$G$11)*SIN(2*PI()*$K$11*$I$11*B336/$L$11)-($G$11/$H$11)*SIN((($F$11-$G$11)/$G$11)*2*PI()*$I$11*B336/$L$11)</f>
        <v>0</v>
      </c>
    </row>
    <row r="337" spans="2:4" x14ac:dyDescent="0.45">
      <c r="B337" s="1">
        <v>327</v>
      </c>
      <c r="C337" s="9">
        <f>($F$11-$G$11)*COS(2*PI()*$J$11*$I$11*B337/$L$11)+($G$11/$H$11)*COS((($F$11-$G$11)/$G$11)*2*PI()*$I$11*B337/$L$11)</f>
        <v>1</v>
      </c>
      <c r="D337" s="9">
        <f>($F$11-$G$11)*SIN(2*PI()*$K$11*$I$11*B337/$L$11)-($G$11/$H$11)*SIN((($F$11-$G$11)/$G$11)*2*PI()*$I$11*B337/$L$11)</f>
        <v>0</v>
      </c>
    </row>
    <row r="338" spans="2:4" x14ac:dyDescent="0.45">
      <c r="B338" s="1">
        <v>328</v>
      </c>
      <c r="C338" s="9">
        <f>($F$11-$G$11)*COS(2*PI()*$J$11*$I$11*B338/$L$11)+($G$11/$H$11)*COS((($F$11-$G$11)/$G$11)*2*PI()*$I$11*B338/$L$11)</f>
        <v>1</v>
      </c>
      <c r="D338" s="9">
        <f>($F$11-$G$11)*SIN(2*PI()*$K$11*$I$11*B338/$L$11)-($G$11/$H$11)*SIN((($F$11-$G$11)/$G$11)*2*PI()*$I$11*B338/$L$11)</f>
        <v>0</v>
      </c>
    </row>
    <row r="339" spans="2:4" x14ac:dyDescent="0.45">
      <c r="B339" s="1">
        <v>329</v>
      </c>
      <c r="C339" s="9">
        <f>($F$11-$G$11)*COS(2*PI()*$J$11*$I$11*B339/$L$11)+($G$11/$H$11)*COS((($F$11-$G$11)/$G$11)*2*PI()*$I$11*B339/$L$11)</f>
        <v>1</v>
      </c>
      <c r="D339" s="9">
        <f>($F$11-$G$11)*SIN(2*PI()*$K$11*$I$11*B339/$L$11)-($G$11/$H$11)*SIN((($F$11-$G$11)/$G$11)*2*PI()*$I$11*B339/$L$11)</f>
        <v>0</v>
      </c>
    </row>
    <row r="340" spans="2:4" x14ac:dyDescent="0.45">
      <c r="B340" s="1">
        <v>330</v>
      </c>
      <c r="C340" s="9">
        <f>($F$11-$G$11)*COS(2*PI()*$J$11*$I$11*B340/$L$11)+($G$11/$H$11)*COS((($F$11-$G$11)/$G$11)*2*PI()*$I$11*B340/$L$11)</f>
        <v>1</v>
      </c>
      <c r="D340" s="9">
        <f>($F$11-$G$11)*SIN(2*PI()*$K$11*$I$11*B340/$L$11)-($G$11/$H$11)*SIN((($F$11-$G$11)/$G$11)*2*PI()*$I$11*B340/$L$11)</f>
        <v>0</v>
      </c>
    </row>
    <row r="341" spans="2:4" x14ac:dyDescent="0.45">
      <c r="B341" s="1">
        <v>331</v>
      </c>
      <c r="C341" s="9">
        <f>($F$11-$G$11)*COS(2*PI()*$J$11*$I$11*B341/$L$11)+($G$11/$H$11)*COS((($F$11-$G$11)/$G$11)*2*PI()*$I$11*B341/$L$11)</f>
        <v>1</v>
      </c>
      <c r="D341" s="9">
        <f>($F$11-$G$11)*SIN(2*PI()*$K$11*$I$11*B341/$L$11)-($G$11/$H$11)*SIN((($F$11-$G$11)/$G$11)*2*PI()*$I$11*B341/$L$11)</f>
        <v>0</v>
      </c>
    </row>
    <row r="342" spans="2:4" x14ac:dyDescent="0.45">
      <c r="B342" s="1">
        <v>332</v>
      </c>
      <c r="C342" s="9">
        <f>($F$11-$G$11)*COS(2*PI()*$J$11*$I$11*B342/$L$11)+($G$11/$H$11)*COS((($F$11-$G$11)/$G$11)*2*PI()*$I$11*B342/$L$11)</f>
        <v>1</v>
      </c>
      <c r="D342" s="9">
        <f>($F$11-$G$11)*SIN(2*PI()*$K$11*$I$11*B342/$L$11)-($G$11/$H$11)*SIN((($F$11-$G$11)/$G$11)*2*PI()*$I$11*B342/$L$11)</f>
        <v>0</v>
      </c>
    </row>
    <row r="343" spans="2:4" x14ac:dyDescent="0.45">
      <c r="B343" s="1">
        <v>333</v>
      </c>
      <c r="C343" s="9">
        <f>($F$11-$G$11)*COS(2*PI()*$J$11*$I$11*B343/$L$11)+($G$11/$H$11)*COS((($F$11-$G$11)/$G$11)*2*PI()*$I$11*B343/$L$11)</f>
        <v>1</v>
      </c>
      <c r="D343" s="9">
        <f>($F$11-$G$11)*SIN(2*PI()*$K$11*$I$11*B343/$L$11)-($G$11/$H$11)*SIN((($F$11-$G$11)/$G$11)*2*PI()*$I$11*B343/$L$11)</f>
        <v>0</v>
      </c>
    </row>
    <row r="344" spans="2:4" x14ac:dyDescent="0.45">
      <c r="B344" s="1">
        <v>334</v>
      </c>
      <c r="C344" s="9">
        <f>($F$11-$G$11)*COS(2*PI()*$J$11*$I$11*B344/$L$11)+($G$11/$H$11)*COS((($F$11-$G$11)/$G$11)*2*PI()*$I$11*B344/$L$11)</f>
        <v>1</v>
      </c>
      <c r="D344" s="9">
        <f>($F$11-$G$11)*SIN(2*PI()*$K$11*$I$11*B344/$L$11)-($G$11/$H$11)*SIN((($F$11-$G$11)/$G$11)*2*PI()*$I$11*B344/$L$11)</f>
        <v>0</v>
      </c>
    </row>
    <row r="345" spans="2:4" x14ac:dyDescent="0.45">
      <c r="B345" s="1">
        <v>335</v>
      </c>
      <c r="C345" s="9">
        <f>($F$11-$G$11)*COS(2*PI()*$J$11*$I$11*B345/$L$11)+($G$11/$H$11)*COS((($F$11-$G$11)/$G$11)*2*PI()*$I$11*B345/$L$11)</f>
        <v>1</v>
      </c>
      <c r="D345" s="9">
        <f>($F$11-$G$11)*SIN(2*PI()*$K$11*$I$11*B345/$L$11)-($G$11/$H$11)*SIN((($F$11-$G$11)/$G$11)*2*PI()*$I$11*B345/$L$11)</f>
        <v>0</v>
      </c>
    </row>
    <row r="346" spans="2:4" x14ac:dyDescent="0.45">
      <c r="B346" s="1">
        <v>336</v>
      </c>
      <c r="C346" s="9">
        <f>($F$11-$G$11)*COS(2*PI()*$J$11*$I$11*B346/$L$11)+($G$11/$H$11)*COS((($F$11-$G$11)/$G$11)*2*PI()*$I$11*B346/$L$11)</f>
        <v>1</v>
      </c>
      <c r="D346" s="9">
        <f>($F$11-$G$11)*SIN(2*PI()*$K$11*$I$11*B346/$L$11)-($G$11/$H$11)*SIN((($F$11-$G$11)/$G$11)*2*PI()*$I$11*B346/$L$11)</f>
        <v>0</v>
      </c>
    </row>
    <row r="347" spans="2:4" x14ac:dyDescent="0.45">
      <c r="B347" s="1">
        <v>337</v>
      </c>
      <c r="C347" s="9">
        <f>($F$11-$G$11)*COS(2*PI()*$J$11*$I$11*B347/$L$11)+($G$11/$H$11)*COS((($F$11-$G$11)/$G$11)*2*PI()*$I$11*B347/$L$11)</f>
        <v>1</v>
      </c>
      <c r="D347" s="9">
        <f>($F$11-$G$11)*SIN(2*PI()*$K$11*$I$11*B347/$L$11)-($G$11/$H$11)*SIN((($F$11-$G$11)/$G$11)*2*PI()*$I$11*B347/$L$11)</f>
        <v>0</v>
      </c>
    </row>
    <row r="348" spans="2:4" x14ac:dyDescent="0.45">
      <c r="B348" s="1">
        <v>338</v>
      </c>
      <c r="C348" s="9">
        <f>($F$11-$G$11)*COS(2*PI()*$J$11*$I$11*B348/$L$11)+($G$11/$H$11)*COS((($F$11-$G$11)/$G$11)*2*PI()*$I$11*B348/$L$11)</f>
        <v>1</v>
      </c>
      <c r="D348" s="9">
        <f>($F$11-$G$11)*SIN(2*PI()*$K$11*$I$11*B348/$L$11)-($G$11/$H$11)*SIN((($F$11-$G$11)/$G$11)*2*PI()*$I$11*B348/$L$11)</f>
        <v>0</v>
      </c>
    </row>
    <row r="349" spans="2:4" x14ac:dyDescent="0.45">
      <c r="B349" s="1">
        <v>339</v>
      </c>
      <c r="C349" s="9">
        <f>($F$11-$G$11)*COS(2*PI()*$J$11*$I$11*B349/$L$11)+($G$11/$H$11)*COS((($F$11-$G$11)/$G$11)*2*PI()*$I$11*B349/$L$11)</f>
        <v>1</v>
      </c>
      <c r="D349" s="9">
        <f>($F$11-$G$11)*SIN(2*PI()*$K$11*$I$11*B349/$L$11)-($G$11/$H$11)*SIN((($F$11-$G$11)/$G$11)*2*PI()*$I$11*B349/$L$11)</f>
        <v>0</v>
      </c>
    </row>
    <row r="350" spans="2:4" x14ac:dyDescent="0.45">
      <c r="B350" s="1">
        <v>340</v>
      </c>
      <c r="C350" s="9">
        <f>($F$11-$G$11)*COS(2*PI()*$J$11*$I$11*B350/$L$11)+($G$11/$H$11)*COS((($F$11-$G$11)/$G$11)*2*PI()*$I$11*B350/$L$11)</f>
        <v>1</v>
      </c>
      <c r="D350" s="9">
        <f>($F$11-$G$11)*SIN(2*PI()*$K$11*$I$11*B350/$L$11)-($G$11/$H$11)*SIN((($F$11-$G$11)/$G$11)*2*PI()*$I$11*B350/$L$11)</f>
        <v>0</v>
      </c>
    </row>
    <row r="351" spans="2:4" x14ac:dyDescent="0.45">
      <c r="B351" s="1">
        <v>341</v>
      </c>
      <c r="C351" s="9">
        <f>($F$11-$G$11)*COS(2*PI()*$J$11*$I$11*B351/$L$11)+($G$11/$H$11)*COS((($F$11-$G$11)/$G$11)*2*PI()*$I$11*B351/$L$11)</f>
        <v>1</v>
      </c>
      <c r="D351" s="9">
        <f>($F$11-$G$11)*SIN(2*PI()*$K$11*$I$11*B351/$L$11)-($G$11/$H$11)*SIN((($F$11-$G$11)/$G$11)*2*PI()*$I$11*B351/$L$11)</f>
        <v>0</v>
      </c>
    </row>
    <row r="352" spans="2:4" x14ac:dyDescent="0.45">
      <c r="B352" s="1">
        <v>342</v>
      </c>
      <c r="C352" s="9">
        <f>($F$11-$G$11)*COS(2*PI()*$J$11*$I$11*B352/$L$11)+($G$11/$H$11)*COS((($F$11-$G$11)/$G$11)*2*PI()*$I$11*B352/$L$11)</f>
        <v>1</v>
      </c>
      <c r="D352" s="9">
        <f>($F$11-$G$11)*SIN(2*PI()*$K$11*$I$11*B352/$L$11)-($G$11/$H$11)*SIN((($F$11-$G$11)/$G$11)*2*PI()*$I$11*B352/$L$11)</f>
        <v>0</v>
      </c>
    </row>
    <row r="353" spans="2:4" x14ac:dyDescent="0.45">
      <c r="B353" s="1">
        <v>343</v>
      </c>
      <c r="C353" s="9">
        <f>($F$11-$G$11)*COS(2*PI()*$J$11*$I$11*B353/$L$11)+($G$11/$H$11)*COS((($F$11-$G$11)/$G$11)*2*PI()*$I$11*B353/$L$11)</f>
        <v>1</v>
      </c>
      <c r="D353" s="9">
        <f>($F$11-$G$11)*SIN(2*PI()*$K$11*$I$11*B353/$L$11)-($G$11/$H$11)*SIN((($F$11-$G$11)/$G$11)*2*PI()*$I$11*B353/$L$11)</f>
        <v>0</v>
      </c>
    </row>
    <row r="354" spans="2:4" x14ac:dyDescent="0.45">
      <c r="B354" s="1">
        <v>344</v>
      </c>
      <c r="C354" s="9">
        <f>($F$11-$G$11)*COS(2*PI()*$J$11*$I$11*B354/$L$11)+($G$11/$H$11)*COS((($F$11-$G$11)/$G$11)*2*PI()*$I$11*B354/$L$11)</f>
        <v>1</v>
      </c>
      <c r="D354" s="9">
        <f>($F$11-$G$11)*SIN(2*PI()*$K$11*$I$11*B354/$L$11)-($G$11/$H$11)*SIN((($F$11-$G$11)/$G$11)*2*PI()*$I$11*B354/$L$11)</f>
        <v>0</v>
      </c>
    </row>
    <row r="355" spans="2:4" x14ac:dyDescent="0.45">
      <c r="B355" s="1">
        <v>345</v>
      </c>
      <c r="C355" s="9">
        <f>($F$11-$G$11)*COS(2*PI()*$J$11*$I$11*B355/$L$11)+($G$11/$H$11)*COS((($F$11-$G$11)/$G$11)*2*PI()*$I$11*B355/$L$11)</f>
        <v>1</v>
      </c>
      <c r="D355" s="9">
        <f>($F$11-$G$11)*SIN(2*PI()*$K$11*$I$11*B355/$L$11)-($G$11/$H$11)*SIN((($F$11-$G$11)/$G$11)*2*PI()*$I$11*B355/$L$11)</f>
        <v>0</v>
      </c>
    </row>
    <row r="356" spans="2:4" x14ac:dyDescent="0.45">
      <c r="B356" s="1">
        <v>346</v>
      </c>
      <c r="C356" s="9">
        <f>($F$11-$G$11)*COS(2*PI()*$J$11*$I$11*B356/$L$11)+($G$11/$H$11)*COS((($F$11-$G$11)/$G$11)*2*PI()*$I$11*B356/$L$11)</f>
        <v>1</v>
      </c>
      <c r="D356" s="9">
        <f>($F$11-$G$11)*SIN(2*PI()*$K$11*$I$11*B356/$L$11)-($G$11/$H$11)*SIN((($F$11-$G$11)/$G$11)*2*PI()*$I$11*B356/$L$11)</f>
        <v>0</v>
      </c>
    </row>
    <row r="357" spans="2:4" x14ac:dyDescent="0.45">
      <c r="B357" s="1">
        <v>347</v>
      </c>
      <c r="C357" s="9">
        <f>($F$11-$G$11)*COS(2*PI()*$J$11*$I$11*B357/$L$11)+($G$11/$H$11)*COS((($F$11-$G$11)/$G$11)*2*PI()*$I$11*B357/$L$11)</f>
        <v>1</v>
      </c>
      <c r="D357" s="9">
        <f>($F$11-$G$11)*SIN(2*PI()*$K$11*$I$11*B357/$L$11)-($G$11/$H$11)*SIN((($F$11-$G$11)/$G$11)*2*PI()*$I$11*B357/$L$11)</f>
        <v>0</v>
      </c>
    </row>
    <row r="358" spans="2:4" x14ac:dyDescent="0.45">
      <c r="B358" s="1">
        <v>348</v>
      </c>
      <c r="C358" s="9">
        <f>($F$11-$G$11)*COS(2*PI()*$J$11*$I$11*B358/$L$11)+($G$11/$H$11)*COS((($F$11-$G$11)/$G$11)*2*PI()*$I$11*B358/$L$11)</f>
        <v>1</v>
      </c>
      <c r="D358" s="9">
        <f>($F$11-$G$11)*SIN(2*PI()*$K$11*$I$11*B358/$L$11)-($G$11/$H$11)*SIN((($F$11-$G$11)/$G$11)*2*PI()*$I$11*B358/$L$11)</f>
        <v>0</v>
      </c>
    </row>
    <row r="359" spans="2:4" x14ac:dyDescent="0.45">
      <c r="B359" s="1">
        <v>349</v>
      </c>
      <c r="C359" s="9">
        <f>($F$11-$G$11)*COS(2*PI()*$J$11*$I$11*B359/$L$11)+($G$11/$H$11)*COS((($F$11-$G$11)/$G$11)*2*PI()*$I$11*B359/$L$11)</f>
        <v>1</v>
      </c>
      <c r="D359" s="9">
        <f>($F$11-$G$11)*SIN(2*PI()*$K$11*$I$11*B359/$L$11)-($G$11/$H$11)*SIN((($F$11-$G$11)/$G$11)*2*PI()*$I$11*B359/$L$11)</f>
        <v>0</v>
      </c>
    </row>
    <row r="360" spans="2:4" x14ac:dyDescent="0.45">
      <c r="B360" s="1">
        <v>350</v>
      </c>
      <c r="C360" s="9">
        <f>($F$11-$G$11)*COS(2*PI()*$J$11*$I$11*B360/$L$11)+($G$11/$H$11)*COS((($F$11-$G$11)/$G$11)*2*PI()*$I$11*B360/$L$11)</f>
        <v>1</v>
      </c>
      <c r="D360" s="9">
        <f>($F$11-$G$11)*SIN(2*PI()*$K$11*$I$11*B360/$L$11)-($G$11/$H$11)*SIN((($F$11-$G$11)/$G$11)*2*PI()*$I$11*B360/$L$11)</f>
        <v>0</v>
      </c>
    </row>
    <row r="361" spans="2:4" x14ac:dyDescent="0.45">
      <c r="B361" s="1">
        <v>351</v>
      </c>
      <c r="C361" s="9">
        <f>($F$11-$G$11)*COS(2*PI()*$J$11*$I$11*B361/$L$11)+($G$11/$H$11)*COS((($F$11-$G$11)/$G$11)*2*PI()*$I$11*B361/$L$11)</f>
        <v>1</v>
      </c>
      <c r="D361" s="9">
        <f>($F$11-$G$11)*SIN(2*PI()*$K$11*$I$11*B361/$L$11)-($G$11/$H$11)*SIN((($F$11-$G$11)/$G$11)*2*PI()*$I$11*B361/$L$11)</f>
        <v>0</v>
      </c>
    </row>
    <row r="362" spans="2:4" x14ac:dyDescent="0.45">
      <c r="B362" s="1">
        <v>352</v>
      </c>
      <c r="C362" s="9">
        <f>($F$11-$G$11)*COS(2*PI()*$J$11*$I$11*B362/$L$11)+($G$11/$H$11)*COS((($F$11-$G$11)/$G$11)*2*PI()*$I$11*B362/$L$11)</f>
        <v>1</v>
      </c>
      <c r="D362" s="9">
        <f>($F$11-$G$11)*SIN(2*PI()*$K$11*$I$11*B362/$L$11)-($G$11/$H$11)*SIN((($F$11-$G$11)/$G$11)*2*PI()*$I$11*B362/$L$11)</f>
        <v>0</v>
      </c>
    </row>
    <row r="363" spans="2:4" x14ac:dyDescent="0.45">
      <c r="B363" s="1">
        <v>353</v>
      </c>
      <c r="C363" s="9">
        <f>($F$11-$G$11)*COS(2*PI()*$J$11*$I$11*B363/$L$11)+($G$11/$H$11)*COS((($F$11-$G$11)/$G$11)*2*PI()*$I$11*B363/$L$11)</f>
        <v>1</v>
      </c>
      <c r="D363" s="9">
        <f>($F$11-$G$11)*SIN(2*PI()*$K$11*$I$11*B363/$L$11)-($G$11/$H$11)*SIN((($F$11-$G$11)/$G$11)*2*PI()*$I$11*B363/$L$11)</f>
        <v>0</v>
      </c>
    </row>
    <row r="364" spans="2:4" x14ac:dyDescent="0.45">
      <c r="B364" s="1">
        <v>354</v>
      </c>
      <c r="C364" s="9">
        <f>($F$11-$G$11)*COS(2*PI()*$J$11*$I$11*B364/$L$11)+($G$11/$H$11)*COS((($F$11-$G$11)/$G$11)*2*PI()*$I$11*B364/$L$11)</f>
        <v>1</v>
      </c>
      <c r="D364" s="9">
        <f>($F$11-$G$11)*SIN(2*PI()*$K$11*$I$11*B364/$L$11)-($G$11/$H$11)*SIN((($F$11-$G$11)/$G$11)*2*PI()*$I$11*B364/$L$11)</f>
        <v>0</v>
      </c>
    </row>
    <row r="365" spans="2:4" x14ac:dyDescent="0.45">
      <c r="B365" s="1">
        <v>355</v>
      </c>
      <c r="C365" s="9">
        <f>($F$11-$G$11)*COS(2*PI()*$J$11*$I$11*B365/$L$11)+($G$11/$H$11)*COS((($F$11-$G$11)/$G$11)*2*PI()*$I$11*B365/$L$11)</f>
        <v>1</v>
      </c>
      <c r="D365" s="9">
        <f>($F$11-$G$11)*SIN(2*PI()*$K$11*$I$11*B365/$L$11)-($G$11/$H$11)*SIN((($F$11-$G$11)/$G$11)*2*PI()*$I$11*B365/$L$11)</f>
        <v>0</v>
      </c>
    </row>
    <row r="366" spans="2:4" x14ac:dyDescent="0.45">
      <c r="B366" s="1">
        <v>356</v>
      </c>
      <c r="C366" s="9">
        <f>($F$11-$G$11)*COS(2*PI()*$J$11*$I$11*B366/$L$11)+($G$11/$H$11)*COS((($F$11-$G$11)/$G$11)*2*PI()*$I$11*B366/$L$11)</f>
        <v>1</v>
      </c>
      <c r="D366" s="9">
        <f>($F$11-$G$11)*SIN(2*PI()*$K$11*$I$11*B366/$L$11)-($G$11/$H$11)*SIN((($F$11-$G$11)/$G$11)*2*PI()*$I$11*B366/$L$11)</f>
        <v>0</v>
      </c>
    </row>
    <row r="367" spans="2:4" x14ac:dyDescent="0.45">
      <c r="B367" s="1">
        <v>357</v>
      </c>
      <c r="C367" s="9">
        <f>($F$11-$G$11)*COS(2*PI()*$J$11*$I$11*B367/$L$11)+($G$11/$H$11)*COS((($F$11-$G$11)/$G$11)*2*PI()*$I$11*B367/$L$11)</f>
        <v>1</v>
      </c>
      <c r="D367" s="9">
        <f>($F$11-$G$11)*SIN(2*PI()*$K$11*$I$11*B367/$L$11)-($G$11/$H$11)*SIN((($F$11-$G$11)/$G$11)*2*PI()*$I$11*B367/$L$11)</f>
        <v>0</v>
      </c>
    </row>
    <row r="368" spans="2:4" x14ac:dyDescent="0.45">
      <c r="B368" s="1">
        <v>358</v>
      </c>
      <c r="C368" s="9">
        <f>($F$11-$G$11)*COS(2*PI()*$J$11*$I$11*B368/$L$11)+($G$11/$H$11)*COS((($F$11-$G$11)/$G$11)*2*PI()*$I$11*B368/$L$11)</f>
        <v>1</v>
      </c>
      <c r="D368" s="9">
        <f>($F$11-$G$11)*SIN(2*PI()*$K$11*$I$11*B368/$L$11)-($G$11/$H$11)*SIN((($F$11-$G$11)/$G$11)*2*PI()*$I$11*B368/$L$11)</f>
        <v>0</v>
      </c>
    </row>
    <row r="369" spans="2:4" x14ac:dyDescent="0.45">
      <c r="B369" s="1">
        <v>359</v>
      </c>
      <c r="C369" s="9">
        <f>($F$11-$G$11)*COS(2*PI()*$J$11*$I$11*B369/$L$11)+($G$11/$H$11)*COS((($F$11-$G$11)/$G$11)*2*PI()*$I$11*B369/$L$11)</f>
        <v>1</v>
      </c>
      <c r="D369" s="9">
        <f>($F$11-$G$11)*SIN(2*PI()*$K$11*$I$11*B369/$L$11)-($G$11/$H$11)*SIN((($F$11-$G$11)/$G$11)*2*PI()*$I$11*B369/$L$11)</f>
        <v>0</v>
      </c>
    </row>
    <row r="370" spans="2:4" x14ac:dyDescent="0.45">
      <c r="B370" s="1">
        <v>360</v>
      </c>
      <c r="C370" s="9">
        <f>($F$11-$G$11)*COS(2*PI()*$J$11*$I$11*B370/$L$11)+($G$11/$H$11)*COS((($F$11-$G$11)/$G$11)*2*PI()*$I$11*B370/$L$11)</f>
        <v>1</v>
      </c>
      <c r="D370" s="9">
        <f>($F$11-$G$11)*SIN(2*PI()*$K$11*$I$11*B370/$L$11)-($G$11/$H$11)*SIN((($F$11-$G$11)/$G$11)*2*PI()*$I$11*B370/$L$11)</f>
        <v>0</v>
      </c>
    </row>
    <row r="371" spans="2:4" x14ac:dyDescent="0.45">
      <c r="B371" s="1">
        <v>361</v>
      </c>
      <c r="C371" s="9">
        <f>($F$11-$G$11)*COS(2*PI()*$J$11*$I$11*B371/$L$11)+($G$11/$H$11)*COS((($F$11-$G$11)/$G$11)*2*PI()*$I$11*B371/$L$11)</f>
        <v>1</v>
      </c>
      <c r="D371" s="9">
        <f>($F$11-$G$11)*SIN(2*PI()*$K$11*$I$11*B371/$L$11)-($G$11/$H$11)*SIN((($F$11-$G$11)/$G$11)*2*PI()*$I$11*B371/$L$11)</f>
        <v>0</v>
      </c>
    </row>
    <row r="372" spans="2:4" x14ac:dyDescent="0.45">
      <c r="B372" s="1">
        <v>362</v>
      </c>
      <c r="C372" s="9">
        <f>($F$11-$G$11)*COS(2*PI()*$J$11*$I$11*B372/$L$11)+($G$11/$H$11)*COS((($F$11-$G$11)/$G$11)*2*PI()*$I$11*B372/$L$11)</f>
        <v>1</v>
      </c>
      <c r="D372" s="9">
        <f>($F$11-$G$11)*SIN(2*PI()*$K$11*$I$11*B372/$L$11)-($G$11/$H$11)*SIN((($F$11-$G$11)/$G$11)*2*PI()*$I$11*B372/$L$11)</f>
        <v>0</v>
      </c>
    </row>
    <row r="373" spans="2:4" x14ac:dyDescent="0.45">
      <c r="B373" s="1">
        <v>363</v>
      </c>
      <c r="C373" s="9">
        <f>($F$11-$G$11)*COS(2*PI()*$J$11*$I$11*B373/$L$11)+($G$11/$H$11)*COS((($F$11-$G$11)/$G$11)*2*PI()*$I$11*B373/$L$11)</f>
        <v>1</v>
      </c>
      <c r="D373" s="9">
        <f>($F$11-$G$11)*SIN(2*PI()*$K$11*$I$11*B373/$L$11)-($G$11/$H$11)*SIN((($F$11-$G$11)/$G$11)*2*PI()*$I$11*B373/$L$11)</f>
        <v>0</v>
      </c>
    </row>
    <row r="374" spans="2:4" x14ac:dyDescent="0.45">
      <c r="B374" s="1">
        <v>364</v>
      </c>
      <c r="C374" s="9">
        <f>($F$11-$G$11)*COS(2*PI()*$J$11*$I$11*B374/$L$11)+($G$11/$H$11)*COS((($F$11-$G$11)/$G$11)*2*PI()*$I$11*B374/$L$11)</f>
        <v>1</v>
      </c>
      <c r="D374" s="9">
        <f>($F$11-$G$11)*SIN(2*PI()*$K$11*$I$11*B374/$L$11)-($G$11/$H$11)*SIN((($F$11-$G$11)/$G$11)*2*PI()*$I$11*B374/$L$11)</f>
        <v>0</v>
      </c>
    </row>
    <row r="375" spans="2:4" x14ac:dyDescent="0.45">
      <c r="B375" s="1">
        <v>365</v>
      </c>
      <c r="C375" s="9">
        <f>($F$11-$G$11)*COS(2*PI()*$J$11*$I$11*B375/$L$11)+($G$11/$H$11)*COS((($F$11-$G$11)/$G$11)*2*PI()*$I$11*B375/$L$11)</f>
        <v>1</v>
      </c>
      <c r="D375" s="9">
        <f>($F$11-$G$11)*SIN(2*PI()*$K$11*$I$11*B375/$L$11)-($G$11/$H$11)*SIN((($F$11-$G$11)/$G$11)*2*PI()*$I$11*B375/$L$11)</f>
        <v>0</v>
      </c>
    </row>
    <row r="376" spans="2:4" x14ac:dyDescent="0.45">
      <c r="B376" s="1">
        <v>366</v>
      </c>
      <c r="C376" s="9">
        <f>($F$11-$G$11)*COS(2*PI()*$J$11*$I$11*B376/$L$11)+($G$11/$H$11)*COS((($F$11-$G$11)/$G$11)*2*PI()*$I$11*B376/$L$11)</f>
        <v>1</v>
      </c>
      <c r="D376" s="9">
        <f>($F$11-$G$11)*SIN(2*PI()*$K$11*$I$11*B376/$L$11)-($G$11/$H$11)*SIN((($F$11-$G$11)/$G$11)*2*PI()*$I$11*B376/$L$11)</f>
        <v>0</v>
      </c>
    </row>
    <row r="377" spans="2:4" x14ac:dyDescent="0.45">
      <c r="B377" s="1">
        <v>367</v>
      </c>
      <c r="C377" s="9">
        <f>($F$11-$G$11)*COS(2*PI()*$J$11*$I$11*B377/$L$11)+($G$11/$H$11)*COS((($F$11-$G$11)/$G$11)*2*PI()*$I$11*B377/$L$11)</f>
        <v>1</v>
      </c>
      <c r="D377" s="9">
        <f>($F$11-$G$11)*SIN(2*PI()*$K$11*$I$11*B377/$L$11)-($G$11/$H$11)*SIN((($F$11-$G$11)/$G$11)*2*PI()*$I$11*B377/$L$11)</f>
        <v>0</v>
      </c>
    </row>
    <row r="378" spans="2:4" x14ac:dyDescent="0.45">
      <c r="B378" s="1">
        <v>368</v>
      </c>
      <c r="C378" s="9">
        <f>($F$11-$G$11)*COS(2*PI()*$J$11*$I$11*B378/$L$11)+($G$11/$H$11)*COS((($F$11-$G$11)/$G$11)*2*PI()*$I$11*B378/$L$11)</f>
        <v>1</v>
      </c>
      <c r="D378" s="9">
        <f>($F$11-$G$11)*SIN(2*PI()*$K$11*$I$11*B378/$L$11)-($G$11/$H$11)*SIN((($F$11-$G$11)/$G$11)*2*PI()*$I$11*B378/$L$11)</f>
        <v>0</v>
      </c>
    </row>
    <row r="379" spans="2:4" x14ac:dyDescent="0.45">
      <c r="B379" s="1">
        <v>369</v>
      </c>
      <c r="C379" s="9">
        <f>($F$11-$G$11)*COS(2*PI()*$J$11*$I$11*B379/$L$11)+($G$11/$H$11)*COS((($F$11-$G$11)/$G$11)*2*PI()*$I$11*B379/$L$11)</f>
        <v>1</v>
      </c>
      <c r="D379" s="9">
        <f>($F$11-$G$11)*SIN(2*PI()*$K$11*$I$11*B379/$L$11)-($G$11/$H$11)*SIN((($F$11-$G$11)/$G$11)*2*PI()*$I$11*B379/$L$11)</f>
        <v>0</v>
      </c>
    </row>
    <row r="380" spans="2:4" x14ac:dyDescent="0.45">
      <c r="B380" s="1">
        <v>370</v>
      </c>
      <c r="C380" s="9">
        <f>($F$11-$G$11)*COS(2*PI()*$J$11*$I$11*B380/$L$11)+($G$11/$H$11)*COS((($F$11-$G$11)/$G$11)*2*PI()*$I$11*B380/$L$11)</f>
        <v>1</v>
      </c>
      <c r="D380" s="9">
        <f>($F$11-$G$11)*SIN(2*PI()*$K$11*$I$11*B380/$L$11)-($G$11/$H$11)*SIN((($F$11-$G$11)/$G$11)*2*PI()*$I$11*B380/$L$11)</f>
        <v>0</v>
      </c>
    </row>
    <row r="381" spans="2:4" x14ac:dyDescent="0.45">
      <c r="B381" s="1">
        <v>371</v>
      </c>
      <c r="C381" s="9">
        <f>($F$11-$G$11)*COS(2*PI()*$J$11*$I$11*B381/$L$11)+($G$11/$H$11)*COS((($F$11-$G$11)/$G$11)*2*PI()*$I$11*B381/$L$11)</f>
        <v>1</v>
      </c>
      <c r="D381" s="9">
        <f>($F$11-$G$11)*SIN(2*PI()*$K$11*$I$11*B381/$L$11)-($G$11/$H$11)*SIN((($F$11-$G$11)/$G$11)*2*PI()*$I$11*B381/$L$11)</f>
        <v>0</v>
      </c>
    </row>
    <row r="382" spans="2:4" x14ac:dyDescent="0.45">
      <c r="B382" s="1">
        <v>372</v>
      </c>
      <c r="C382" s="9">
        <f>($F$11-$G$11)*COS(2*PI()*$J$11*$I$11*B382/$L$11)+($G$11/$H$11)*COS((($F$11-$G$11)/$G$11)*2*PI()*$I$11*B382/$L$11)</f>
        <v>1</v>
      </c>
      <c r="D382" s="9">
        <f>($F$11-$G$11)*SIN(2*PI()*$K$11*$I$11*B382/$L$11)-($G$11/$H$11)*SIN((($F$11-$G$11)/$G$11)*2*PI()*$I$11*B382/$L$11)</f>
        <v>0</v>
      </c>
    </row>
    <row r="383" spans="2:4" x14ac:dyDescent="0.45">
      <c r="B383" s="1">
        <v>373</v>
      </c>
      <c r="C383" s="9">
        <f>($F$11-$G$11)*COS(2*PI()*$J$11*$I$11*B383/$L$11)+($G$11/$H$11)*COS((($F$11-$G$11)/$G$11)*2*PI()*$I$11*B383/$L$11)</f>
        <v>1</v>
      </c>
      <c r="D383" s="9">
        <f>($F$11-$G$11)*SIN(2*PI()*$K$11*$I$11*B383/$L$11)-($G$11/$H$11)*SIN((($F$11-$G$11)/$G$11)*2*PI()*$I$11*B383/$L$11)</f>
        <v>0</v>
      </c>
    </row>
    <row r="384" spans="2:4" x14ac:dyDescent="0.45">
      <c r="B384" s="1">
        <v>374</v>
      </c>
      <c r="C384" s="9">
        <f>($F$11-$G$11)*COS(2*PI()*$J$11*$I$11*B384/$L$11)+($G$11/$H$11)*COS((($F$11-$G$11)/$G$11)*2*PI()*$I$11*B384/$L$11)</f>
        <v>1</v>
      </c>
      <c r="D384" s="9">
        <f>($F$11-$G$11)*SIN(2*PI()*$K$11*$I$11*B384/$L$11)-($G$11/$H$11)*SIN((($F$11-$G$11)/$G$11)*2*PI()*$I$11*B384/$L$11)</f>
        <v>0</v>
      </c>
    </row>
    <row r="385" spans="2:4" x14ac:dyDescent="0.45">
      <c r="B385" s="1">
        <v>375</v>
      </c>
      <c r="C385" s="9">
        <f>($F$11-$G$11)*COS(2*PI()*$J$11*$I$11*B385/$L$11)+($G$11/$H$11)*COS((($F$11-$G$11)/$G$11)*2*PI()*$I$11*B385/$L$11)</f>
        <v>1</v>
      </c>
      <c r="D385" s="9">
        <f>($F$11-$G$11)*SIN(2*PI()*$K$11*$I$11*B385/$L$11)-($G$11/$H$11)*SIN((($F$11-$G$11)/$G$11)*2*PI()*$I$11*B385/$L$11)</f>
        <v>0</v>
      </c>
    </row>
    <row r="386" spans="2:4" x14ac:dyDescent="0.45">
      <c r="B386" s="1">
        <v>376</v>
      </c>
      <c r="C386" s="9">
        <f>($F$11-$G$11)*COS(2*PI()*$J$11*$I$11*B386/$L$11)+($G$11/$H$11)*COS((($F$11-$G$11)/$G$11)*2*PI()*$I$11*B386/$L$11)</f>
        <v>1</v>
      </c>
      <c r="D386" s="9">
        <f>($F$11-$G$11)*SIN(2*PI()*$K$11*$I$11*B386/$L$11)-($G$11/$H$11)*SIN((($F$11-$G$11)/$G$11)*2*PI()*$I$11*B386/$L$11)</f>
        <v>0</v>
      </c>
    </row>
    <row r="387" spans="2:4" x14ac:dyDescent="0.45">
      <c r="B387" s="1">
        <v>377</v>
      </c>
      <c r="C387" s="9">
        <f>($F$11-$G$11)*COS(2*PI()*$J$11*$I$11*B387/$L$11)+($G$11/$H$11)*COS((($F$11-$G$11)/$G$11)*2*PI()*$I$11*B387/$L$11)</f>
        <v>1</v>
      </c>
      <c r="D387" s="9">
        <f>($F$11-$G$11)*SIN(2*PI()*$K$11*$I$11*B387/$L$11)-($G$11/$H$11)*SIN((($F$11-$G$11)/$G$11)*2*PI()*$I$11*B387/$L$11)</f>
        <v>0</v>
      </c>
    </row>
    <row r="388" spans="2:4" x14ac:dyDescent="0.45">
      <c r="B388" s="1">
        <v>378</v>
      </c>
      <c r="C388" s="9">
        <f>($F$11-$G$11)*COS(2*PI()*$J$11*$I$11*B388/$L$11)+($G$11/$H$11)*COS((($F$11-$G$11)/$G$11)*2*PI()*$I$11*B388/$L$11)</f>
        <v>1</v>
      </c>
      <c r="D388" s="9">
        <f>($F$11-$G$11)*SIN(2*PI()*$K$11*$I$11*B388/$L$11)-($G$11/$H$11)*SIN((($F$11-$G$11)/$G$11)*2*PI()*$I$11*B388/$L$11)</f>
        <v>0</v>
      </c>
    </row>
    <row r="389" spans="2:4" x14ac:dyDescent="0.45">
      <c r="B389" s="1">
        <v>379</v>
      </c>
      <c r="C389" s="9">
        <f>($F$11-$G$11)*COS(2*PI()*$J$11*$I$11*B389/$L$11)+($G$11/$H$11)*COS((($F$11-$G$11)/$G$11)*2*PI()*$I$11*B389/$L$11)</f>
        <v>1</v>
      </c>
      <c r="D389" s="9">
        <f>($F$11-$G$11)*SIN(2*PI()*$K$11*$I$11*B389/$L$11)-($G$11/$H$11)*SIN((($F$11-$G$11)/$G$11)*2*PI()*$I$11*B389/$L$11)</f>
        <v>0</v>
      </c>
    </row>
    <row r="390" spans="2:4" x14ac:dyDescent="0.45">
      <c r="B390" s="1">
        <v>380</v>
      </c>
      <c r="C390" s="9">
        <f>($F$11-$G$11)*COS(2*PI()*$J$11*$I$11*B390/$L$11)+($G$11/$H$11)*COS((($F$11-$G$11)/$G$11)*2*PI()*$I$11*B390/$L$11)</f>
        <v>1</v>
      </c>
      <c r="D390" s="9">
        <f>($F$11-$G$11)*SIN(2*PI()*$K$11*$I$11*B390/$L$11)-($G$11/$H$11)*SIN((($F$11-$G$11)/$G$11)*2*PI()*$I$11*B390/$L$11)</f>
        <v>0</v>
      </c>
    </row>
    <row r="391" spans="2:4" x14ac:dyDescent="0.45">
      <c r="B391" s="1">
        <v>381</v>
      </c>
      <c r="C391" s="9">
        <f>($F$11-$G$11)*COS(2*PI()*$J$11*$I$11*B391/$L$11)+($G$11/$H$11)*COS((($F$11-$G$11)/$G$11)*2*PI()*$I$11*B391/$L$11)</f>
        <v>1</v>
      </c>
      <c r="D391" s="9">
        <f>($F$11-$G$11)*SIN(2*PI()*$K$11*$I$11*B391/$L$11)-($G$11/$H$11)*SIN((($F$11-$G$11)/$G$11)*2*PI()*$I$11*B391/$L$11)</f>
        <v>0</v>
      </c>
    </row>
    <row r="392" spans="2:4" x14ac:dyDescent="0.45">
      <c r="B392" s="1">
        <v>382</v>
      </c>
      <c r="C392" s="9">
        <f>($F$11-$G$11)*COS(2*PI()*$J$11*$I$11*B392/$L$11)+($G$11/$H$11)*COS((($F$11-$G$11)/$G$11)*2*PI()*$I$11*B392/$L$11)</f>
        <v>1</v>
      </c>
      <c r="D392" s="9">
        <f>($F$11-$G$11)*SIN(2*PI()*$K$11*$I$11*B392/$L$11)-($G$11/$H$11)*SIN((($F$11-$G$11)/$G$11)*2*PI()*$I$11*B392/$L$11)</f>
        <v>0</v>
      </c>
    </row>
    <row r="393" spans="2:4" x14ac:dyDescent="0.45">
      <c r="B393" s="1">
        <v>383</v>
      </c>
      <c r="C393" s="9">
        <f>($F$11-$G$11)*COS(2*PI()*$J$11*$I$11*B393/$L$11)+($G$11/$H$11)*COS((($F$11-$G$11)/$G$11)*2*PI()*$I$11*B393/$L$11)</f>
        <v>1</v>
      </c>
      <c r="D393" s="9">
        <f>($F$11-$G$11)*SIN(2*PI()*$K$11*$I$11*B393/$L$11)-($G$11/$H$11)*SIN((($F$11-$G$11)/$G$11)*2*PI()*$I$11*B393/$L$11)</f>
        <v>0</v>
      </c>
    </row>
    <row r="394" spans="2:4" x14ac:dyDescent="0.45">
      <c r="B394" s="1">
        <v>384</v>
      </c>
      <c r="C394" s="9">
        <f>($F$11-$G$11)*COS(2*PI()*$J$11*$I$11*B394/$L$11)+($G$11/$H$11)*COS((($F$11-$G$11)/$G$11)*2*PI()*$I$11*B394/$L$11)</f>
        <v>1</v>
      </c>
      <c r="D394" s="9">
        <f>($F$11-$G$11)*SIN(2*PI()*$K$11*$I$11*B394/$L$11)-($G$11/$H$11)*SIN((($F$11-$G$11)/$G$11)*2*PI()*$I$11*B394/$L$11)</f>
        <v>0</v>
      </c>
    </row>
    <row r="395" spans="2:4" x14ac:dyDescent="0.45">
      <c r="B395" s="1">
        <v>385</v>
      </c>
      <c r="C395" s="9">
        <f>($F$11-$G$11)*COS(2*PI()*$J$11*$I$11*B395/$L$11)+($G$11/$H$11)*COS((($F$11-$G$11)/$G$11)*2*PI()*$I$11*B395/$L$11)</f>
        <v>1</v>
      </c>
      <c r="D395" s="9">
        <f>($F$11-$G$11)*SIN(2*PI()*$K$11*$I$11*B395/$L$11)-($G$11/$H$11)*SIN((($F$11-$G$11)/$G$11)*2*PI()*$I$11*B395/$L$11)</f>
        <v>0</v>
      </c>
    </row>
    <row r="396" spans="2:4" x14ac:dyDescent="0.45">
      <c r="B396" s="1">
        <v>386</v>
      </c>
      <c r="C396" s="9">
        <f>($F$11-$G$11)*COS(2*PI()*$J$11*$I$11*B396/$L$11)+($G$11/$H$11)*COS((($F$11-$G$11)/$G$11)*2*PI()*$I$11*B396/$L$11)</f>
        <v>1</v>
      </c>
      <c r="D396" s="9">
        <f>($F$11-$G$11)*SIN(2*PI()*$K$11*$I$11*B396/$L$11)-($G$11/$H$11)*SIN((($F$11-$G$11)/$G$11)*2*PI()*$I$11*B396/$L$11)</f>
        <v>0</v>
      </c>
    </row>
    <row r="397" spans="2:4" x14ac:dyDescent="0.45">
      <c r="B397" s="1">
        <v>387</v>
      </c>
      <c r="C397" s="9">
        <f>($F$11-$G$11)*COS(2*PI()*$J$11*$I$11*B397/$L$11)+($G$11/$H$11)*COS((($F$11-$G$11)/$G$11)*2*PI()*$I$11*B397/$L$11)</f>
        <v>1</v>
      </c>
      <c r="D397" s="9">
        <f>($F$11-$G$11)*SIN(2*PI()*$K$11*$I$11*B397/$L$11)-($G$11/$H$11)*SIN((($F$11-$G$11)/$G$11)*2*PI()*$I$11*B397/$L$11)</f>
        <v>0</v>
      </c>
    </row>
    <row r="398" spans="2:4" x14ac:dyDescent="0.45">
      <c r="B398" s="1">
        <v>388</v>
      </c>
      <c r="C398" s="9">
        <f>($F$11-$G$11)*COS(2*PI()*$J$11*$I$11*B398/$L$11)+($G$11/$H$11)*COS((($F$11-$G$11)/$G$11)*2*PI()*$I$11*B398/$L$11)</f>
        <v>1</v>
      </c>
      <c r="D398" s="9">
        <f>($F$11-$G$11)*SIN(2*PI()*$K$11*$I$11*B398/$L$11)-($G$11/$H$11)*SIN((($F$11-$G$11)/$G$11)*2*PI()*$I$11*B398/$L$11)</f>
        <v>0</v>
      </c>
    </row>
    <row r="399" spans="2:4" x14ac:dyDescent="0.45">
      <c r="B399" s="1">
        <v>389</v>
      </c>
      <c r="C399" s="9">
        <f>($F$11-$G$11)*COS(2*PI()*$J$11*$I$11*B399/$L$11)+($G$11/$H$11)*COS((($F$11-$G$11)/$G$11)*2*PI()*$I$11*B399/$L$11)</f>
        <v>1</v>
      </c>
      <c r="D399" s="9">
        <f>($F$11-$G$11)*SIN(2*PI()*$K$11*$I$11*B399/$L$11)-($G$11/$H$11)*SIN((($F$11-$G$11)/$G$11)*2*PI()*$I$11*B399/$L$11)</f>
        <v>0</v>
      </c>
    </row>
    <row r="400" spans="2:4" x14ac:dyDescent="0.45">
      <c r="B400" s="1">
        <v>390</v>
      </c>
      <c r="C400" s="9">
        <f>($F$11-$G$11)*COS(2*PI()*$J$11*$I$11*B400/$L$11)+($G$11/$H$11)*COS((($F$11-$G$11)/$G$11)*2*PI()*$I$11*B400/$L$11)</f>
        <v>1</v>
      </c>
      <c r="D400" s="9">
        <f>($F$11-$G$11)*SIN(2*PI()*$K$11*$I$11*B400/$L$11)-($G$11/$H$11)*SIN((($F$11-$G$11)/$G$11)*2*PI()*$I$11*B400/$L$11)</f>
        <v>0</v>
      </c>
    </row>
    <row r="401" spans="2:4" x14ac:dyDescent="0.45">
      <c r="B401" s="1">
        <v>391</v>
      </c>
      <c r="C401" s="9">
        <f>($F$11-$G$11)*COS(2*PI()*$J$11*$I$11*B401/$L$11)+($G$11/$H$11)*COS((($F$11-$G$11)/$G$11)*2*PI()*$I$11*B401/$L$11)</f>
        <v>1</v>
      </c>
      <c r="D401" s="9">
        <f>($F$11-$G$11)*SIN(2*PI()*$K$11*$I$11*B401/$L$11)-($G$11/$H$11)*SIN((($F$11-$G$11)/$G$11)*2*PI()*$I$11*B401/$L$11)</f>
        <v>0</v>
      </c>
    </row>
    <row r="402" spans="2:4" x14ac:dyDescent="0.45">
      <c r="B402" s="1">
        <v>392</v>
      </c>
      <c r="C402" s="9">
        <f>($F$11-$G$11)*COS(2*PI()*$J$11*$I$11*B402/$L$11)+($G$11/$H$11)*COS((($F$11-$G$11)/$G$11)*2*PI()*$I$11*B402/$L$11)</f>
        <v>1</v>
      </c>
      <c r="D402" s="9">
        <f>($F$11-$G$11)*SIN(2*PI()*$K$11*$I$11*B402/$L$11)-($G$11/$H$11)*SIN((($F$11-$G$11)/$G$11)*2*PI()*$I$11*B402/$L$11)</f>
        <v>0</v>
      </c>
    </row>
    <row r="403" spans="2:4" x14ac:dyDescent="0.45">
      <c r="B403" s="1">
        <v>393</v>
      </c>
      <c r="C403" s="9">
        <f>($F$11-$G$11)*COS(2*PI()*$J$11*$I$11*B403/$L$11)+($G$11/$H$11)*COS((($F$11-$G$11)/$G$11)*2*PI()*$I$11*B403/$L$11)</f>
        <v>1</v>
      </c>
      <c r="D403" s="9">
        <f>($F$11-$G$11)*SIN(2*PI()*$K$11*$I$11*B403/$L$11)-($G$11/$H$11)*SIN((($F$11-$G$11)/$G$11)*2*PI()*$I$11*B403/$L$11)</f>
        <v>0</v>
      </c>
    </row>
    <row r="404" spans="2:4" x14ac:dyDescent="0.45">
      <c r="B404" s="1">
        <v>394</v>
      </c>
      <c r="C404" s="9">
        <f>($F$11-$G$11)*COS(2*PI()*$J$11*$I$11*B404/$L$11)+($G$11/$H$11)*COS((($F$11-$G$11)/$G$11)*2*PI()*$I$11*B404/$L$11)</f>
        <v>1</v>
      </c>
      <c r="D404" s="9">
        <f>($F$11-$G$11)*SIN(2*PI()*$K$11*$I$11*B404/$L$11)-($G$11/$H$11)*SIN((($F$11-$G$11)/$G$11)*2*PI()*$I$11*B404/$L$11)</f>
        <v>0</v>
      </c>
    </row>
    <row r="405" spans="2:4" x14ac:dyDescent="0.45">
      <c r="B405" s="1">
        <v>395</v>
      </c>
      <c r="C405" s="9">
        <f>($F$11-$G$11)*COS(2*PI()*$J$11*$I$11*B405/$L$11)+($G$11/$H$11)*COS((($F$11-$G$11)/$G$11)*2*PI()*$I$11*B405/$L$11)</f>
        <v>1</v>
      </c>
      <c r="D405" s="9">
        <f>($F$11-$G$11)*SIN(2*PI()*$K$11*$I$11*B405/$L$11)-($G$11/$H$11)*SIN((($F$11-$G$11)/$G$11)*2*PI()*$I$11*B405/$L$11)</f>
        <v>0</v>
      </c>
    </row>
    <row r="406" spans="2:4" x14ac:dyDescent="0.45">
      <c r="B406" s="1">
        <v>396</v>
      </c>
      <c r="C406" s="9">
        <f>($F$11-$G$11)*COS(2*PI()*$J$11*$I$11*B406/$L$11)+($G$11/$H$11)*COS((($F$11-$G$11)/$G$11)*2*PI()*$I$11*B406/$L$11)</f>
        <v>1</v>
      </c>
      <c r="D406" s="9">
        <f>($F$11-$G$11)*SIN(2*PI()*$K$11*$I$11*B406/$L$11)-($G$11/$H$11)*SIN((($F$11-$G$11)/$G$11)*2*PI()*$I$11*B406/$L$11)</f>
        <v>0</v>
      </c>
    </row>
    <row r="407" spans="2:4" x14ac:dyDescent="0.45">
      <c r="B407" s="1">
        <v>397</v>
      </c>
      <c r="C407" s="9">
        <f>($F$11-$G$11)*COS(2*PI()*$J$11*$I$11*B407/$L$11)+($G$11/$H$11)*COS((($F$11-$G$11)/$G$11)*2*PI()*$I$11*B407/$L$11)</f>
        <v>1</v>
      </c>
      <c r="D407" s="9">
        <f>($F$11-$G$11)*SIN(2*PI()*$K$11*$I$11*B407/$L$11)-($G$11/$H$11)*SIN((($F$11-$G$11)/$G$11)*2*PI()*$I$11*B407/$L$11)</f>
        <v>0</v>
      </c>
    </row>
    <row r="408" spans="2:4" x14ac:dyDescent="0.45">
      <c r="B408" s="1">
        <v>398</v>
      </c>
      <c r="C408" s="9">
        <f>($F$11-$G$11)*COS(2*PI()*$J$11*$I$11*B408/$L$11)+($G$11/$H$11)*COS((($F$11-$G$11)/$G$11)*2*PI()*$I$11*B408/$L$11)</f>
        <v>1</v>
      </c>
      <c r="D408" s="9">
        <f>($F$11-$G$11)*SIN(2*PI()*$K$11*$I$11*B408/$L$11)-($G$11/$H$11)*SIN((($F$11-$G$11)/$G$11)*2*PI()*$I$11*B408/$L$11)</f>
        <v>0</v>
      </c>
    </row>
    <row r="409" spans="2:4" x14ac:dyDescent="0.45">
      <c r="B409" s="1">
        <v>399</v>
      </c>
      <c r="C409" s="9">
        <f>($F$11-$G$11)*COS(2*PI()*$J$11*$I$11*B409/$L$11)+($G$11/$H$11)*COS((($F$11-$G$11)/$G$11)*2*PI()*$I$11*B409/$L$11)</f>
        <v>1</v>
      </c>
      <c r="D409" s="9">
        <f>($F$11-$G$11)*SIN(2*PI()*$K$11*$I$11*B409/$L$11)-($G$11/$H$11)*SIN((($F$11-$G$11)/$G$11)*2*PI()*$I$11*B409/$L$11)</f>
        <v>0</v>
      </c>
    </row>
    <row r="410" spans="2:4" x14ac:dyDescent="0.45">
      <c r="B410" s="1">
        <v>400</v>
      </c>
      <c r="C410" s="9">
        <f>($F$11-$G$11)*COS(2*PI()*$J$11*$I$11*B410/$L$11)+($G$11/$H$11)*COS((($F$11-$G$11)/$G$11)*2*PI()*$I$11*B410/$L$11)</f>
        <v>1</v>
      </c>
      <c r="D410" s="9">
        <f>($F$11-$G$11)*SIN(2*PI()*$K$11*$I$11*B410/$L$11)-($G$11/$H$11)*SIN((($F$11-$G$11)/$G$11)*2*PI()*$I$11*B410/$L$11)</f>
        <v>0</v>
      </c>
    </row>
    <row r="411" spans="2:4" x14ac:dyDescent="0.45">
      <c r="B411" s="1">
        <v>401</v>
      </c>
      <c r="C411" s="9">
        <f>($F$11-$G$11)*COS(2*PI()*$J$11*$I$11*B411/$L$11)+($G$11/$H$11)*COS((($F$11-$G$11)/$G$11)*2*PI()*$I$11*B411/$L$11)</f>
        <v>1</v>
      </c>
      <c r="D411" s="9">
        <f>($F$11-$G$11)*SIN(2*PI()*$K$11*$I$11*B411/$L$11)-($G$11/$H$11)*SIN((($F$11-$G$11)/$G$11)*2*PI()*$I$11*B411/$L$11)</f>
        <v>0</v>
      </c>
    </row>
    <row r="412" spans="2:4" x14ac:dyDescent="0.45">
      <c r="B412" s="1">
        <v>402</v>
      </c>
      <c r="C412" s="9">
        <f>($F$11-$G$11)*COS(2*PI()*$J$11*$I$11*B412/$L$11)+($G$11/$H$11)*COS((($F$11-$G$11)/$G$11)*2*PI()*$I$11*B412/$L$11)</f>
        <v>1</v>
      </c>
      <c r="D412" s="9">
        <f>($F$11-$G$11)*SIN(2*PI()*$K$11*$I$11*B412/$L$11)-($G$11/$H$11)*SIN((($F$11-$G$11)/$G$11)*2*PI()*$I$11*B412/$L$11)</f>
        <v>0</v>
      </c>
    </row>
    <row r="413" spans="2:4" x14ac:dyDescent="0.45">
      <c r="B413" s="1">
        <v>403</v>
      </c>
      <c r="C413" s="9">
        <f>($F$11-$G$11)*COS(2*PI()*$J$11*$I$11*B413/$L$11)+($G$11/$H$11)*COS((($F$11-$G$11)/$G$11)*2*PI()*$I$11*B413/$L$11)</f>
        <v>1</v>
      </c>
      <c r="D413" s="9">
        <f>($F$11-$G$11)*SIN(2*PI()*$K$11*$I$11*B413/$L$11)-($G$11/$H$11)*SIN((($F$11-$G$11)/$G$11)*2*PI()*$I$11*B413/$L$11)</f>
        <v>0</v>
      </c>
    </row>
    <row r="414" spans="2:4" x14ac:dyDescent="0.45">
      <c r="B414" s="1">
        <v>404</v>
      </c>
      <c r="C414" s="9">
        <f>($F$11-$G$11)*COS(2*PI()*$J$11*$I$11*B414/$L$11)+($G$11/$H$11)*COS((($F$11-$G$11)/$G$11)*2*PI()*$I$11*B414/$L$11)</f>
        <v>1</v>
      </c>
      <c r="D414" s="9">
        <f>($F$11-$G$11)*SIN(2*PI()*$K$11*$I$11*B414/$L$11)-($G$11/$H$11)*SIN((($F$11-$G$11)/$G$11)*2*PI()*$I$11*B414/$L$11)</f>
        <v>0</v>
      </c>
    </row>
    <row r="415" spans="2:4" x14ac:dyDescent="0.45">
      <c r="B415" s="1">
        <v>405</v>
      </c>
      <c r="C415" s="9">
        <f>($F$11-$G$11)*COS(2*PI()*$J$11*$I$11*B415/$L$11)+($G$11/$H$11)*COS((($F$11-$G$11)/$G$11)*2*PI()*$I$11*B415/$L$11)</f>
        <v>1</v>
      </c>
      <c r="D415" s="9">
        <f>($F$11-$G$11)*SIN(2*PI()*$K$11*$I$11*B415/$L$11)-($G$11/$H$11)*SIN((($F$11-$G$11)/$G$11)*2*PI()*$I$11*B415/$L$11)</f>
        <v>0</v>
      </c>
    </row>
    <row r="416" spans="2:4" x14ac:dyDescent="0.45">
      <c r="B416" s="1">
        <v>406</v>
      </c>
      <c r="C416" s="9">
        <f>($F$11-$G$11)*COS(2*PI()*$J$11*$I$11*B416/$L$11)+($G$11/$H$11)*COS((($F$11-$G$11)/$G$11)*2*PI()*$I$11*B416/$L$11)</f>
        <v>1</v>
      </c>
      <c r="D416" s="9">
        <f>($F$11-$G$11)*SIN(2*PI()*$K$11*$I$11*B416/$L$11)-($G$11/$H$11)*SIN((($F$11-$G$11)/$G$11)*2*PI()*$I$11*B416/$L$11)</f>
        <v>0</v>
      </c>
    </row>
    <row r="417" spans="2:4" x14ac:dyDescent="0.45">
      <c r="B417" s="1">
        <v>407</v>
      </c>
      <c r="C417" s="9">
        <f>($F$11-$G$11)*COS(2*PI()*$J$11*$I$11*B417/$L$11)+($G$11/$H$11)*COS((($F$11-$G$11)/$G$11)*2*PI()*$I$11*B417/$L$11)</f>
        <v>1</v>
      </c>
      <c r="D417" s="9">
        <f>($F$11-$G$11)*SIN(2*PI()*$K$11*$I$11*B417/$L$11)-($G$11/$H$11)*SIN((($F$11-$G$11)/$G$11)*2*PI()*$I$11*B417/$L$11)</f>
        <v>0</v>
      </c>
    </row>
    <row r="418" spans="2:4" x14ac:dyDescent="0.45">
      <c r="B418" s="1">
        <v>408</v>
      </c>
      <c r="C418" s="9">
        <f>($F$11-$G$11)*COS(2*PI()*$J$11*$I$11*B418/$L$11)+($G$11/$H$11)*COS((($F$11-$G$11)/$G$11)*2*PI()*$I$11*B418/$L$11)</f>
        <v>1</v>
      </c>
      <c r="D418" s="9">
        <f>($F$11-$G$11)*SIN(2*PI()*$K$11*$I$11*B418/$L$11)-($G$11/$H$11)*SIN((($F$11-$G$11)/$G$11)*2*PI()*$I$11*B418/$L$11)</f>
        <v>0</v>
      </c>
    </row>
    <row r="419" spans="2:4" x14ac:dyDescent="0.45">
      <c r="B419" s="1">
        <v>409</v>
      </c>
      <c r="C419" s="9">
        <f>($F$11-$G$11)*COS(2*PI()*$J$11*$I$11*B419/$L$11)+($G$11/$H$11)*COS((($F$11-$G$11)/$G$11)*2*PI()*$I$11*B419/$L$11)</f>
        <v>1</v>
      </c>
      <c r="D419" s="9">
        <f>($F$11-$G$11)*SIN(2*PI()*$K$11*$I$11*B419/$L$11)-($G$11/$H$11)*SIN((($F$11-$G$11)/$G$11)*2*PI()*$I$11*B419/$L$11)</f>
        <v>0</v>
      </c>
    </row>
    <row r="420" spans="2:4" x14ac:dyDescent="0.45">
      <c r="B420" s="1">
        <v>410</v>
      </c>
      <c r="C420" s="9">
        <f>($F$11-$G$11)*COS(2*PI()*$J$11*$I$11*B420/$L$11)+($G$11/$H$11)*COS((($F$11-$G$11)/$G$11)*2*PI()*$I$11*B420/$L$11)</f>
        <v>1</v>
      </c>
      <c r="D420" s="9">
        <f>($F$11-$G$11)*SIN(2*PI()*$K$11*$I$11*B420/$L$11)-($G$11/$H$11)*SIN((($F$11-$G$11)/$G$11)*2*PI()*$I$11*B420/$L$11)</f>
        <v>0</v>
      </c>
    </row>
    <row r="421" spans="2:4" x14ac:dyDescent="0.45">
      <c r="B421" s="1">
        <v>411</v>
      </c>
      <c r="C421" s="9">
        <f>($F$11-$G$11)*COS(2*PI()*$J$11*$I$11*B421/$L$11)+($G$11/$H$11)*COS((($F$11-$G$11)/$G$11)*2*PI()*$I$11*B421/$L$11)</f>
        <v>1</v>
      </c>
      <c r="D421" s="9">
        <f>($F$11-$G$11)*SIN(2*PI()*$K$11*$I$11*B421/$L$11)-($G$11/$H$11)*SIN((($F$11-$G$11)/$G$11)*2*PI()*$I$11*B421/$L$11)</f>
        <v>0</v>
      </c>
    </row>
    <row r="422" spans="2:4" x14ac:dyDescent="0.45">
      <c r="B422" s="1">
        <v>412</v>
      </c>
      <c r="C422" s="9">
        <f>($F$11-$G$11)*COS(2*PI()*$J$11*$I$11*B422/$L$11)+($G$11/$H$11)*COS((($F$11-$G$11)/$G$11)*2*PI()*$I$11*B422/$L$11)</f>
        <v>1</v>
      </c>
      <c r="D422" s="9">
        <f>($F$11-$G$11)*SIN(2*PI()*$K$11*$I$11*B422/$L$11)-($G$11/$H$11)*SIN((($F$11-$G$11)/$G$11)*2*PI()*$I$11*B422/$L$11)</f>
        <v>0</v>
      </c>
    </row>
    <row r="423" spans="2:4" x14ac:dyDescent="0.45">
      <c r="B423" s="1">
        <v>413</v>
      </c>
      <c r="C423" s="9">
        <f>($F$11-$G$11)*COS(2*PI()*$J$11*$I$11*B423/$L$11)+($G$11/$H$11)*COS((($F$11-$G$11)/$G$11)*2*PI()*$I$11*B423/$L$11)</f>
        <v>1</v>
      </c>
      <c r="D423" s="9">
        <f>($F$11-$G$11)*SIN(2*PI()*$K$11*$I$11*B423/$L$11)-($G$11/$H$11)*SIN((($F$11-$G$11)/$G$11)*2*PI()*$I$11*B423/$L$11)</f>
        <v>0</v>
      </c>
    </row>
    <row r="424" spans="2:4" x14ac:dyDescent="0.45">
      <c r="B424" s="1">
        <v>414</v>
      </c>
      <c r="C424" s="9">
        <f>($F$11-$G$11)*COS(2*PI()*$J$11*$I$11*B424/$L$11)+($G$11/$H$11)*COS((($F$11-$G$11)/$G$11)*2*PI()*$I$11*B424/$L$11)</f>
        <v>1</v>
      </c>
      <c r="D424" s="9">
        <f>($F$11-$G$11)*SIN(2*PI()*$K$11*$I$11*B424/$L$11)-($G$11/$H$11)*SIN((($F$11-$G$11)/$G$11)*2*PI()*$I$11*B424/$L$11)</f>
        <v>0</v>
      </c>
    </row>
    <row r="425" spans="2:4" x14ac:dyDescent="0.45">
      <c r="B425" s="1">
        <v>415</v>
      </c>
      <c r="C425" s="9">
        <f>($F$11-$G$11)*COS(2*PI()*$J$11*$I$11*B425/$L$11)+($G$11/$H$11)*COS((($F$11-$G$11)/$G$11)*2*PI()*$I$11*B425/$L$11)</f>
        <v>1</v>
      </c>
      <c r="D425" s="9">
        <f>($F$11-$G$11)*SIN(2*PI()*$K$11*$I$11*B425/$L$11)-($G$11/$H$11)*SIN((($F$11-$G$11)/$G$11)*2*PI()*$I$11*B425/$L$11)</f>
        <v>0</v>
      </c>
    </row>
    <row r="426" spans="2:4" x14ac:dyDescent="0.45">
      <c r="B426" s="1">
        <v>416</v>
      </c>
      <c r="C426" s="9">
        <f>($F$11-$G$11)*COS(2*PI()*$J$11*$I$11*B426/$L$11)+($G$11/$H$11)*COS((($F$11-$G$11)/$G$11)*2*PI()*$I$11*B426/$L$11)</f>
        <v>1</v>
      </c>
      <c r="D426" s="9">
        <f>($F$11-$G$11)*SIN(2*PI()*$K$11*$I$11*B426/$L$11)-($G$11/$H$11)*SIN((($F$11-$G$11)/$G$11)*2*PI()*$I$11*B426/$L$11)</f>
        <v>0</v>
      </c>
    </row>
    <row r="427" spans="2:4" x14ac:dyDescent="0.45">
      <c r="B427" s="1">
        <v>417</v>
      </c>
      <c r="C427" s="9">
        <f>($F$11-$G$11)*COS(2*PI()*$J$11*$I$11*B427/$L$11)+($G$11/$H$11)*COS((($F$11-$G$11)/$G$11)*2*PI()*$I$11*B427/$L$11)</f>
        <v>1</v>
      </c>
      <c r="D427" s="9">
        <f>($F$11-$G$11)*SIN(2*PI()*$K$11*$I$11*B427/$L$11)-($G$11/$H$11)*SIN((($F$11-$G$11)/$G$11)*2*PI()*$I$11*B427/$L$11)</f>
        <v>0</v>
      </c>
    </row>
    <row r="428" spans="2:4" x14ac:dyDescent="0.45">
      <c r="B428" s="1">
        <v>418</v>
      </c>
      <c r="C428" s="9">
        <f>($F$11-$G$11)*COS(2*PI()*$J$11*$I$11*B428/$L$11)+($G$11/$H$11)*COS((($F$11-$G$11)/$G$11)*2*PI()*$I$11*B428/$L$11)</f>
        <v>1</v>
      </c>
      <c r="D428" s="9">
        <f>($F$11-$G$11)*SIN(2*PI()*$K$11*$I$11*B428/$L$11)-($G$11/$H$11)*SIN((($F$11-$G$11)/$G$11)*2*PI()*$I$11*B428/$L$11)</f>
        <v>0</v>
      </c>
    </row>
    <row r="429" spans="2:4" x14ac:dyDescent="0.45">
      <c r="B429" s="1">
        <v>419</v>
      </c>
      <c r="C429" s="9">
        <f>($F$11-$G$11)*COS(2*PI()*$J$11*$I$11*B429/$L$11)+($G$11/$H$11)*COS((($F$11-$G$11)/$G$11)*2*PI()*$I$11*B429/$L$11)</f>
        <v>1</v>
      </c>
      <c r="D429" s="9">
        <f>($F$11-$G$11)*SIN(2*PI()*$K$11*$I$11*B429/$L$11)-($G$11/$H$11)*SIN((($F$11-$G$11)/$G$11)*2*PI()*$I$11*B429/$L$11)</f>
        <v>0</v>
      </c>
    </row>
    <row r="430" spans="2:4" x14ac:dyDescent="0.45">
      <c r="B430" s="1">
        <v>420</v>
      </c>
      <c r="C430" s="9">
        <f>($F$11-$G$11)*COS(2*PI()*$J$11*$I$11*B430/$L$11)+($G$11/$H$11)*COS((($F$11-$G$11)/$G$11)*2*PI()*$I$11*B430/$L$11)</f>
        <v>1</v>
      </c>
      <c r="D430" s="9">
        <f>($F$11-$G$11)*SIN(2*PI()*$K$11*$I$11*B430/$L$11)-($G$11/$H$11)*SIN((($F$11-$G$11)/$G$11)*2*PI()*$I$11*B430/$L$11)</f>
        <v>0</v>
      </c>
    </row>
    <row r="431" spans="2:4" x14ac:dyDescent="0.45">
      <c r="B431" s="1">
        <v>421</v>
      </c>
      <c r="C431" s="9">
        <f>($F$11-$G$11)*COS(2*PI()*$J$11*$I$11*B431/$L$11)+($G$11/$H$11)*COS((($F$11-$G$11)/$G$11)*2*PI()*$I$11*B431/$L$11)</f>
        <v>1</v>
      </c>
      <c r="D431" s="9">
        <f>($F$11-$G$11)*SIN(2*PI()*$K$11*$I$11*B431/$L$11)-($G$11/$H$11)*SIN((($F$11-$G$11)/$G$11)*2*PI()*$I$11*B431/$L$11)</f>
        <v>0</v>
      </c>
    </row>
    <row r="432" spans="2:4" x14ac:dyDescent="0.45">
      <c r="B432" s="1">
        <v>422</v>
      </c>
      <c r="C432" s="9">
        <f>($F$11-$G$11)*COS(2*PI()*$J$11*$I$11*B432/$L$11)+($G$11/$H$11)*COS((($F$11-$G$11)/$G$11)*2*PI()*$I$11*B432/$L$11)</f>
        <v>1</v>
      </c>
      <c r="D432" s="9">
        <f>($F$11-$G$11)*SIN(2*PI()*$K$11*$I$11*B432/$L$11)-($G$11/$H$11)*SIN((($F$11-$G$11)/$G$11)*2*PI()*$I$11*B432/$L$11)</f>
        <v>0</v>
      </c>
    </row>
    <row r="433" spans="2:4" x14ac:dyDescent="0.45">
      <c r="B433" s="1">
        <v>423</v>
      </c>
      <c r="C433" s="9">
        <f>($F$11-$G$11)*COS(2*PI()*$J$11*$I$11*B433/$L$11)+($G$11/$H$11)*COS((($F$11-$G$11)/$G$11)*2*PI()*$I$11*B433/$L$11)</f>
        <v>1</v>
      </c>
      <c r="D433" s="9">
        <f>($F$11-$G$11)*SIN(2*PI()*$K$11*$I$11*B433/$L$11)-($G$11/$H$11)*SIN((($F$11-$G$11)/$G$11)*2*PI()*$I$11*B433/$L$11)</f>
        <v>0</v>
      </c>
    </row>
    <row r="434" spans="2:4" x14ac:dyDescent="0.45">
      <c r="B434" s="1">
        <v>424</v>
      </c>
      <c r="C434" s="9">
        <f>($F$11-$G$11)*COS(2*PI()*$J$11*$I$11*B434/$L$11)+($G$11/$H$11)*COS((($F$11-$G$11)/$G$11)*2*PI()*$I$11*B434/$L$11)</f>
        <v>1</v>
      </c>
      <c r="D434" s="9">
        <f>($F$11-$G$11)*SIN(2*PI()*$K$11*$I$11*B434/$L$11)-($G$11/$H$11)*SIN((($F$11-$G$11)/$G$11)*2*PI()*$I$11*B434/$L$11)</f>
        <v>0</v>
      </c>
    </row>
    <row r="435" spans="2:4" x14ac:dyDescent="0.45">
      <c r="B435" s="1">
        <v>425</v>
      </c>
      <c r="C435" s="9">
        <f>($F$11-$G$11)*COS(2*PI()*$J$11*$I$11*B435/$L$11)+($G$11/$H$11)*COS((($F$11-$G$11)/$G$11)*2*PI()*$I$11*B435/$L$11)</f>
        <v>1</v>
      </c>
      <c r="D435" s="9">
        <f>($F$11-$G$11)*SIN(2*PI()*$K$11*$I$11*B435/$L$11)-($G$11/$H$11)*SIN((($F$11-$G$11)/$G$11)*2*PI()*$I$11*B435/$L$11)</f>
        <v>0</v>
      </c>
    </row>
    <row r="436" spans="2:4" x14ac:dyDescent="0.45">
      <c r="B436" s="1">
        <v>426</v>
      </c>
      <c r="C436" s="9">
        <f>($F$11-$G$11)*COS(2*PI()*$J$11*$I$11*B436/$L$11)+($G$11/$H$11)*COS((($F$11-$G$11)/$G$11)*2*PI()*$I$11*B436/$L$11)</f>
        <v>1</v>
      </c>
      <c r="D436" s="9">
        <f>($F$11-$G$11)*SIN(2*PI()*$K$11*$I$11*B436/$L$11)-($G$11/$H$11)*SIN((($F$11-$G$11)/$G$11)*2*PI()*$I$11*B436/$L$11)</f>
        <v>0</v>
      </c>
    </row>
    <row r="437" spans="2:4" x14ac:dyDescent="0.45">
      <c r="B437" s="1">
        <v>427</v>
      </c>
      <c r="C437" s="9">
        <f>($F$11-$G$11)*COS(2*PI()*$J$11*$I$11*B437/$L$11)+($G$11/$H$11)*COS((($F$11-$G$11)/$G$11)*2*PI()*$I$11*B437/$L$11)</f>
        <v>1</v>
      </c>
      <c r="D437" s="9">
        <f>($F$11-$G$11)*SIN(2*PI()*$K$11*$I$11*B437/$L$11)-($G$11/$H$11)*SIN((($F$11-$G$11)/$G$11)*2*PI()*$I$11*B437/$L$11)</f>
        <v>0</v>
      </c>
    </row>
    <row r="438" spans="2:4" x14ac:dyDescent="0.45">
      <c r="B438" s="1">
        <v>428</v>
      </c>
      <c r="C438" s="9">
        <f>($F$11-$G$11)*COS(2*PI()*$J$11*$I$11*B438/$L$11)+($G$11/$H$11)*COS((($F$11-$G$11)/$G$11)*2*PI()*$I$11*B438/$L$11)</f>
        <v>1</v>
      </c>
      <c r="D438" s="9">
        <f>($F$11-$G$11)*SIN(2*PI()*$K$11*$I$11*B438/$L$11)-($G$11/$H$11)*SIN((($F$11-$G$11)/$G$11)*2*PI()*$I$11*B438/$L$11)</f>
        <v>0</v>
      </c>
    </row>
    <row r="439" spans="2:4" x14ac:dyDescent="0.45">
      <c r="B439" s="1">
        <v>429</v>
      </c>
      <c r="C439" s="9">
        <f>($F$11-$G$11)*COS(2*PI()*$J$11*$I$11*B439/$L$11)+($G$11/$H$11)*COS((($F$11-$G$11)/$G$11)*2*PI()*$I$11*B439/$L$11)</f>
        <v>1</v>
      </c>
      <c r="D439" s="9">
        <f>($F$11-$G$11)*SIN(2*PI()*$K$11*$I$11*B439/$L$11)-($G$11/$H$11)*SIN((($F$11-$G$11)/$G$11)*2*PI()*$I$11*B439/$L$11)</f>
        <v>0</v>
      </c>
    </row>
    <row r="440" spans="2:4" x14ac:dyDescent="0.45">
      <c r="B440" s="1">
        <v>430</v>
      </c>
      <c r="C440" s="9">
        <f>($F$11-$G$11)*COS(2*PI()*$J$11*$I$11*B440/$L$11)+($G$11/$H$11)*COS((($F$11-$G$11)/$G$11)*2*PI()*$I$11*B440/$L$11)</f>
        <v>1</v>
      </c>
      <c r="D440" s="9">
        <f>($F$11-$G$11)*SIN(2*PI()*$K$11*$I$11*B440/$L$11)-($G$11/$H$11)*SIN((($F$11-$G$11)/$G$11)*2*PI()*$I$11*B440/$L$11)</f>
        <v>0</v>
      </c>
    </row>
    <row r="441" spans="2:4" x14ac:dyDescent="0.45">
      <c r="B441" s="1">
        <v>431</v>
      </c>
      <c r="C441" s="9">
        <f>($F$11-$G$11)*COS(2*PI()*$J$11*$I$11*B441/$L$11)+($G$11/$H$11)*COS((($F$11-$G$11)/$G$11)*2*PI()*$I$11*B441/$L$11)</f>
        <v>1</v>
      </c>
      <c r="D441" s="9">
        <f>($F$11-$G$11)*SIN(2*PI()*$K$11*$I$11*B441/$L$11)-($G$11/$H$11)*SIN((($F$11-$G$11)/$G$11)*2*PI()*$I$11*B441/$L$11)</f>
        <v>0</v>
      </c>
    </row>
    <row r="442" spans="2:4" x14ac:dyDescent="0.45">
      <c r="B442" s="1">
        <v>432</v>
      </c>
      <c r="C442" s="9">
        <f>($F$11-$G$11)*COS(2*PI()*$J$11*$I$11*B442/$L$11)+($G$11/$H$11)*COS((($F$11-$G$11)/$G$11)*2*PI()*$I$11*B442/$L$11)</f>
        <v>1</v>
      </c>
      <c r="D442" s="9">
        <f>($F$11-$G$11)*SIN(2*PI()*$K$11*$I$11*B442/$L$11)-($G$11/$H$11)*SIN((($F$11-$G$11)/$G$11)*2*PI()*$I$11*B442/$L$11)</f>
        <v>0</v>
      </c>
    </row>
    <row r="443" spans="2:4" x14ac:dyDescent="0.45">
      <c r="B443" s="1">
        <v>433</v>
      </c>
      <c r="C443" s="9">
        <f>($F$11-$G$11)*COS(2*PI()*$J$11*$I$11*B443/$L$11)+($G$11/$H$11)*COS((($F$11-$G$11)/$G$11)*2*PI()*$I$11*B443/$L$11)</f>
        <v>1</v>
      </c>
      <c r="D443" s="9">
        <f>($F$11-$G$11)*SIN(2*PI()*$K$11*$I$11*B443/$L$11)-($G$11/$H$11)*SIN((($F$11-$G$11)/$G$11)*2*PI()*$I$11*B443/$L$11)</f>
        <v>0</v>
      </c>
    </row>
    <row r="444" spans="2:4" x14ac:dyDescent="0.45">
      <c r="B444" s="1">
        <v>434</v>
      </c>
      <c r="C444" s="9">
        <f>($F$11-$G$11)*COS(2*PI()*$J$11*$I$11*B444/$L$11)+($G$11/$H$11)*COS((($F$11-$G$11)/$G$11)*2*PI()*$I$11*B444/$L$11)</f>
        <v>1</v>
      </c>
      <c r="D444" s="9">
        <f>($F$11-$G$11)*SIN(2*PI()*$K$11*$I$11*B444/$L$11)-($G$11/$H$11)*SIN((($F$11-$G$11)/$G$11)*2*PI()*$I$11*B444/$L$11)</f>
        <v>0</v>
      </c>
    </row>
    <row r="445" spans="2:4" x14ac:dyDescent="0.45">
      <c r="B445" s="1">
        <v>435</v>
      </c>
      <c r="C445" s="9">
        <f>($F$11-$G$11)*COS(2*PI()*$J$11*$I$11*B445/$L$11)+($G$11/$H$11)*COS((($F$11-$G$11)/$G$11)*2*PI()*$I$11*B445/$L$11)</f>
        <v>1</v>
      </c>
      <c r="D445" s="9">
        <f>($F$11-$G$11)*SIN(2*PI()*$K$11*$I$11*B445/$L$11)-($G$11/$H$11)*SIN((($F$11-$G$11)/$G$11)*2*PI()*$I$11*B445/$L$11)</f>
        <v>0</v>
      </c>
    </row>
    <row r="446" spans="2:4" x14ac:dyDescent="0.45">
      <c r="B446" s="1">
        <v>436</v>
      </c>
      <c r="C446" s="9">
        <f>($F$11-$G$11)*COS(2*PI()*$J$11*$I$11*B446/$L$11)+($G$11/$H$11)*COS((($F$11-$G$11)/$G$11)*2*PI()*$I$11*B446/$L$11)</f>
        <v>1</v>
      </c>
      <c r="D446" s="9">
        <f>($F$11-$G$11)*SIN(2*PI()*$K$11*$I$11*B446/$L$11)-($G$11/$H$11)*SIN((($F$11-$G$11)/$G$11)*2*PI()*$I$11*B446/$L$11)</f>
        <v>0</v>
      </c>
    </row>
    <row r="447" spans="2:4" x14ac:dyDescent="0.45">
      <c r="B447" s="1">
        <v>437</v>
      </c>
      <c r="C447" s="9">
        <f>($F$11-$G$11)*COS(2*PI()*$J$11*$I$11*B447/$L$11)+($G$11/$H$11)*COS((($F$11-$G$11)/$G$11)*2*PI()*$I$11*B447/$L$11)</f>
        <v>1</v>
      </c>
      <c r="D447" s="9">
        <f>($F$11-$G$11)*SIN(2*PI()*$K$11*$I$11*B447/$L$11)-($G$11/$H$11)*SIN((($F$11-$G$11)/$G$11)*2*PI()*$I$11*B447/$L$11)</f>
        <v>0</v>
      </c>
    </row>
    <row r="448" spans="2:4" x14ac:dyDescent="0.45">
      <c r="B448" s="1">
        <v>438</v>
      </c>
      <c r="C448" s="9">
        <f>($F$11-$G$11)*COS(2*PI()*$J$11*$I$11*B448/$L$11)+($G$11/$H$11)*COS((($F$11-$G$11)/$G$11)*2*PI()*$I$11*B448/$L$11)</f>
        <v>1</v>
      </c>
      <c r="D448" s="9">
        <f>($F$11-$G$11)*SIN(2*PI()*$K$11*$I$11*B448/$L$11)-($G$11/$H$11)*SIN((($F$11-$G$11)/$G$11)*2*PI()*$I$11*B448/$L$11)</f>
        <v>0</v>
      </c>
    </row>
    <row r="449" spans="2:4" x14ac:dyDescent="0.45">
      <c r="B449" s="1">
        <v>439</v>
      </c>
      <c r="C449" s="9">
        <f>($F$11-$G$11)*COS(2*PI()*$J$11*$I$11*B449/$L$11)+($G$11/$H$11)*COS((($F$11-$G$11)/$G$11)*2*PI()*$I$11*B449/$L$11)</f>
        <v>1</v>
      </c>
      <c r="D449" s="9">
        <f>($F$11-$G$11)*SIN(2*PI()*$K$11*$I$11*B449/$L$11)-($G$11/$H$11)*SIN((($F$11-$G$11)/$G$11)*2*PI()*$I$11*B449/$L$11)</f>
        <v>0</v>
      </c>
    </row>
    <row r="450" spans="2:4" x14ac:dyDescent="0.45">
      <c r="B450" s="1">
        <v>440</v>
      </c>
      <c r="C450" s="9">
        <f>($F$11-$G$11)*COS(2*PI()*$J$11*$I$11*B450/$L$11)+($G$11/$H$11)*COS((($F$11-$G$11)/$G$11)*2*PI()*$I$11*B450/$L$11)</f>
        <v>1</v>
      </c>
      <c r="D450" s="9">
        <f>($F$11-$G$11)*SIN(2*PI()*$K$11*$I$11*B450/$L$11)-($G$11/$H$11)*SIN((($F$11-$G$11)/$G$11)*2*PI()*$I$11*B450/$L$11)</f>
        <v>0</v>
      </c>
    </row>
    <row r="451" spans="2:4" x14ac:dyDescent="0.45">
      <c r="B451" s="1">
        <v>441</v>
      </c>
      <c r="C451" s="9">
        <f>($F$11-$G$11)*COS(2*PI()*$J$11*$I$11*B451/$L$11)+($G$11/$H$11)*COS((($F$11-$G$11)/$G$11)*2*PI()*$I$11*B451/$L$11)</f>
        <v>1</v>
      </c>
      <c r="D451" s="9">
        <f>($F$11-$G$11)*SIN(2*PI()*$K$11*$I$11*B451/$L$11)-($G$11/$H$11)*SIN((($F$11-$G$11)/$G$11)*2*PI()*$I$11*B451/$L$11)</f>
        <v>0</v>
      </c>
    </row>
    <row r="452" spans="2:4" x14ac:dyDescent="0.45">
      <c r="B452" s="1">
        <v>442</v>
      </c>
      <c r="C452" s="9">
        <f>($F$11-$G$11)*COS(2*PI()*$J$11*$I$11*B452/$L$11)+($G$11/$H$11)*COS((($F$11-$G$11)/$G$11)*2*PI()*$I$11*B452/$L$11)</f>
        <v>1</v>
      </c>
      <c r="D452" s="9">
        <f>($F$11-$G$11)*SIN(2*PI()*$K$11*$I$11*B452/$L$11)-($G$11/$H$11)*SIN((($F$11-$G$11)/$G$11)*2*PI()*$I$11*B452/$L$11)</f>
        <v>0</v>
      </c>
    </row>
    <row r="453" spans="2:4" x14ac:dyDescent="0.45">
      <c r="B453" s="1">
        <v>443</v>
      </c>
      <c r="C453" s="9">
        <f>($F$11-$G$11)*COS(2*PI()*$J$11*$I$11*B453/$L$11)+($G$11/$H$11)*COS((($F$11-$G$11)/$G$11)*2*PI()*$I$11*B453/$L$11)</f>
        <v>1</v>
      </c>
      <c r="D453" s="9">
        <f>($F$11-$G$11)*SIN(2*PI()*$K$11*$I$11*B453/$L$11)-($G$11/$H$11)*SIN((($F$11-$G$11)/$G$11)*2*PI()*$I$11*B453/$L$11)</f>
        <v>0</v>
      </c>
    </row>
    <row r="454" spans="2:4" x14ac:dyDescent="0.45">
      <c r="B454" s="1">
        <v>444</v>
      </c>
      <c r="C454" s="9">
        <f>($F$11-$G$11)*COS(2*PI()*$J$11*$I$11*B454/$L$11)+($G$11/$H$11)*COS((($F$11-$G$11)/$G$11)*2*PI()*$I$11*B454/$L$11)</f>
        <v>1</v>
      </c>
      <c r="D454" s="9">
        <f>($F$11-$G$11)*SIN(2*PI()*$K$11*$I$11*B454/$L$11)-($G$11/$H$11)*SIN((($F$11-$G$11)/$G$11)*2*PI()*$I$11*B454/$L$11)</f>
        <v>0</v>
      </c>
    </row>
    <row r="455" spans="2:4" x14ac:dyDescent="0.45">
      <c r="B455" s="1">
        <v>445</v>
      </c>
      <c r="C455" s="9">
        <f>($F$11-$G$11)*COS(2*PI()*$J$11*$I$11*B455/$L$11)+($G$11/$H$11)*COS((($F$11-$G$11)/$G$11)*2*PI()*$I$11*B455/$L$11)</f>
        <v>1</v>
      </c>
      <c r="D455" s="9">
        <f>($F$11-$G$11)*SIN(2*PI()*$K$11*$I$11*B455/$L$11)-($G$11/$H$11)*SIN((($F$11-$G$11)/$G$11)*2*PI()*$I$11*B455/$L$11)</f>
        <v>0</v>
      </c>
    </row>
    <row r="456" spans="2:4" x14ac:dyDescent="0.45">
      <c r="B456" s="1">
        <v>446</v>
      </c>
      <c r="C456" s="9">
        <f>($F$11-$G$11)*COS(2*PI()*$J$11*$I$11*B456/$L$11)+($G$11/$H$11)*COS((($F$11-$G$11)/$G$11)*2*PI()*$I$11*B456/$L$11)</f>
        <v>1</v>
      </c>
      <c r="D456" s="9">
        <f>($F$11-$G$11)*SIN(2*PI()*$K$11*$I$11*B456/$L$11)-($G$11/$H$11)*SIN((($F$11-$G$11)/$G$11)*2*PI()*$I$11*B456/$L$11)</f>
        <v>0</v>
      </c>
    </row>
    <row r="457" spans="2:4" x14ac:dyDescent="0.45">
      <c r="B457" s="1">
        <v>447</v>
      </c>
      <c r="C457" s="9">
        <f>($F$11-$G$11)*COS(2*PI()*$J$11*$I$11*B457/$L$11)+($G$11/$H$11)*COS((($F$11-$G$11)/$G$11)*2*PI()*$I$11*B457/$L$11)</f>
        <v>1</v>
      </c>
      <c r="D457" s="9">
        <f>($F$11-$G$11)*SIN(2*PI()*$K$11*$I$11*B457/$L$11)-($G$11/$H$11)*SIN((($F$11-$G$11)/$G$11)*2*PI()*$I$11*B457/$L$11)</f>
        <v>0</v>
      </c>
    </row>
    <row r="458" spans="2:4" x14ac:dyDescent="0.45">
      <c r="B458" s="1">
        <v>448</v>
      </c>
      <c r="C458" s="9">
        <f>($F$11-$G$11)*COS(2*PI()*$J$11*$I$11*B458/$L$11)+($G$11/$H$11)*COS((($F$11-$G$11)/$G$11)*2*PI()*$I$11*B458/$L$11)</f>
        <v>1</v>
      </c>
      <c r="D458" s="9">
        <f>($F$11-$G$11)*SIN(2*PI()*$K$11*$I$11*B458/$L$11)-($G$11/$H$11)*SIN((($F$11-$G$11)/$G$11)*2*PI()*$I$11*B458/$L$11)</f>
        <v>0</v>
      </c>
    </row>
    <row r="459" spans="2:4" x14ac:dyDescent="0.45">
      <c r="B459" s="1">
        <v>449</v>
      </c>
      <c r="C459" s="9">
        <f>($F$11-$G$11)*COS(2*PI()*$J$11*$I$11*B459/$L$11)+($G$11/$H$11)*COS((($F$11-$G$11)/$G$11)*2*PI()*$I$11*B459/$L$11)</f>
        <v>1</v>
      </c>
      <c r="D459" s="9">
        <f>($F$11-$G$11)*SIN(2*PI()*$K$11*$I$11*B459/$L$11)-($G$11/$H$11)*SIN((($F$11-$G$11)/$G$11)*2*PI()*$I$11*B459/$L$11)</f>
        <v>0</v>
      </c>
    </row>
    <row r="460" spans="2:4" x14ac:dyDescent="0.45">
      <c r="B460" s="1">
        <v>450</v>
      </c>
      <c r="C460" s="9">
        <f>($F$11-$G$11)*COS(2*PI()*$J$11*$I$11*B460/$L$11)+($G$11/$H$11)*COS((($F$11-$G$11)/$G$11)*2*PI()*$I$11*B460/$L$11)</f>
        <v>1</v>
      </c>
      <c r="D460" s="9">
        <f>($F$11-$G$11)*SIN(2*PI()*$K$11*$I$11*B460/$L$11)-($G$11/$H$11)*SIN((($F$11-$G$11)/$G$11)*2*PI()*$I$11*B460/$L$11)</f>
        <v>0</v>
      </c>
    </row>
    <row r="461" spans="2:4" x14ac:dyDescent="0.45">
      <c r="B461" s="1">
        <v>451</v>
      </c>
      <c r="C461" s="9">
        <f>($F$11-$G$11)*COS(2*PI()*$J$11*$I$11*B461/$L$11)+($G$11/$H$11)*COS((($F$11-$G$11)/$G$11)*2*PI()*$I$11*B461/$L$11)</f>
        <v>1</v>
      </c>
      <c r="D461" s="9">
        <f>($F$11-$G$11)*SIN(2*PI()*$K$11*$I$11*B461/$L$11)-($G$11/$H$11)*SIN((($F$11-$G$11)/$G$11)*2*PI()*$I$11*B461/$L$11)</f>
        <v>0</v>
      </c>
    </row>
    <row r="462" spans="2:4" x14ac:dyDescent="0.45">
      <c r="B462" s="1">
        <v>452</v>
      </c>
      <c r="C462" s="9">
        <f>($F$11-$G$11)*COS(2*PI()*$J$11*$I$11*B462/$L$11)+($G$11/$H$11)*COS((($F$11-$G$11)/$G$11)*2*PI()*$I$11*B462/$L$11)</f>
        <v>1</v>
      </c>
      <c r="D462" s="9">
        <f>($F$11-$G$11)*SIN(2*PI()*$K$11*$I$11*B462/$L$11)-($G$11/$H$11)*SIN((($F$11-$G$11)/$G$11)*2*PI()*$I$11*B462/$L$11)</f>
        <v>0</v>
      </c>
    </row>
    <row r="463" spans="2:4" x14ac:dyDescent="0.45">
      <c r="B463" s="1">
        <v>453</v>
      </c>
      <c r="C463" s="9">
        <f>($F$11-$G$11)*COS(2*PI()*$J$11*$I$11*B463/$L$11)+($G$11/$H$11)*COS((($F$11-$G$11)/$G$11)*2*PI()*$I$11*B463/$L$11)</f>
        <v>1</v>
      </c>
      <c r="D463" s="9">
        <f>($F$11-$G$11)*SIN(2*PI()*$K$11*$I$11*B463/$L$11)-($G$11/$H$11)*SIN((($F$11-$G$11)/$G$11)*2*PI()*$I$11*B463/$L$11)</f>
        <v>0</v>
      </c>
    </row>
    <row r="464" spans="2:4" x14ac:dyDescent="0.45">
      <c r="B464" s="1">
        <v>454</v>
      </c>
      <c r="C464" s="9">
        <f>($F$11-$G$11)*COS(2*PI()*$J$11*$I$11*B464/$L$11)+($G$11/$H$11)*COS((($F$11-$G$11)/$G$11)*2*PI()*$I$11*B464/$L$11)</f>
        <v>1</v>
      </c>
      <c r="D464" s="9">
        <f>($F$11-$G$11)*SIN(2*PI()*$K$11*$I$11*B464/$L$11)-($G$11/$H$11)*SIN((($F$11-$G$11)/$G$11)*2*PI()*$I$11*B464/$L$11)</f>
        <v>0</v>
      </c>
    </row>
    <row r="465" spans="2:4" x14ac:dyDescent="0.45">
      <c r="B465" s="1">
        <v>455</v>
      </c>
      <c r="C465" s="9">
        <f>($F$11-$G$11)*COS(2*PI()*$J$11*$I$11*B465/$L$11)+($G$11/$H$11)*COS((($F$11-$G$11)/$G$11)*2*PI()*$I$11*B465/$L$11)</f>
        <v>1</v>
      </c>
      <c r="D465" s="9">
        <f>($F$11-$G$11)*SIN(2*PI()*$K$11*$I$11*B465/$L$11)-($G$11/$H$11)*SIN((($F$11-$G$11)/$G$11)*2*PI()*$I$11*B465/$L$11)</f>
        <v>0</v>
      </c>
    </row>
    <row r="466" spans="2:4" x14ac:dyDescent="0.45">
      <c r="B466" s="1">
        <v>456</v>
      </c>
      <c r="C466" s="9">
        <f>($F$11-$G$11)*COS(2*PI()*$J$11*$I$11*B466/$L$11)+($G$11/$H$11)*COS((($F$11-$G$11)/$G$11)*2*PI()*$I$11*B466/$L$11)</f>
        <v>1</v>
      </c>
      <c r="D466" s="9">
        <f>($F$11-$G$11)*SIN(2*PI()*$K$11*$I$11*B466/$L$11)-($G$11/$H$11)*SIN((($F$11-$G$11)/$G$11)*2*PI()*$I$11*B466/$L$11)</f>
        <v>0</v>
      </c>
    </row>
    <row r="467" spans="2:4" x14ac:dyDescent="0.45">
      <c r="B467" s="1">
        <v>457</v>
      </c>
      <c r="C467" s="9">
        <f>($F$11-$G$11)*COS(2*PI()*$J$11*$I$11*B467/$L$11)+($G$11/$H$11)*COS((($F$11-$G$11)/$G$11)*2*PI()*$I$11*B467/$L$11)</f>
        <v>1</v>
      </c>
      <c r="D467" s="9">
        <f>($F$11-$G$11)*SIN(2*PI()*$K$11*$I$11*B467/$L$11)-($G$11/$H$11)*SIN((($F$11-$G$11)/$G$11)*2*PI()*$I$11*B467/$L$11)</f>
        <v>0</v>
      </c>
    </row>
    <row r="468" spans="2:4" x14ac:dyDescent="0.45">
      <c r="B468" s="1">
        <v>458</v>
      </c>
      <c r="C468" s="9">
        <f>($F$11-$G$11)*COS(2*PI()*$J$11*$I$11*B468/$L$11)+($G$11/$H$11)*COS((($F$11-$G$11)/$G$11)*2*PI()*$I$11*B468/$L$11)</f>
        <v>1</v>
      </c>
      <c r="D468" s="9">
        <f>($F$11-$G$11)*SIN(2*PI()*$K$11*$I$11*B468/$L$11)-($G$11/$H$11)*SIN((($F$11-$G$11)/$G$11)*2*PI()*$I$11*B468/$L$11)</f>
        <v>0</v>
      </c>
    </row>
    <row r="469" spans="2:4" x14ac:dyDescent="0.45">
      <c r="B469" s="1">
        <v>459</v>
      </c>
      <c r="C469" s="9">
        <f>($F$11-$G$11)*COS(2*PI()*$J$11*$I$11*B469/$L$11)+($G$11/$H$11)*COS((($F$11-$G$11)/$G$11)*2*PI()*$I$11*B469/$L$11)</f>
        <v>1</v>
      </c>
      <c r="D469" s="9">
        <f>($F$11-$G$11)*SIN(2*PI()*$K$11*$I$11*B469/$L$11)-($G$11/$H$11)*SIN((($F$11-$G$11)/$G$11)*2*PI()*$I$11*B469/$L$11)</f>
        <v>0</v>
      </c>
    </row>
    <row r="470" spans="2:4" x14ac:dyDescent="0.45">
      <c r="B470" s="1">
        <v>460</v>
      </c>
      <c r="C470" s="9">
        <f>($F$11-$G$11)*COS(2*PI()*$J$11*$I$11*B470/$L$11)+($G$11/$H$11)*COS((($F$11-$G$11)/$G$11)*2*PI()*$I$11*B470/$L$11)</f>
        <v>1</v>
      </c>
      <c r="D470" s="9">
        <f>($F$11-$G$11)*SIN(2*PI()*$K$11*$I$11*B470/$L$11)-($G$11/$H$11)*SIN((($F$11-$G$11)/$G$11)*2*PI()*$I$11*B470/$L$11)</f>
        <v>0</v>
      </c>
    </row>
    <row r="471" spans="2:4" x14ac:dyDescent="0.45">
      <c r="B471" s="1">
        <v>461</v>
      </c>
      <c r="C471" s="9">
        <f>($F$11-$G$11)*COS(2*PI()*$J$11*$I$11*B471/$L$11)+($G$11/$H$11)*COS((($F$11-$G$11)/$G$11)*2*PI()*$I$11*B471/$L$11)</f>
        <v>1</v>
      </c>
      <c r="D471" s="9">
        <f>($F$11-$G$11)*SIN(2*PI()*$K$11*$I$11*B471/$L$11)-($G$11/$H$11)*SIN((($F$11-$G$11)/$G$11)*2*PI()*$I$11*B471/$L$11)</f>
        <v>0</v>
      </c>
    </row>
    <row r="472" spans="2:4" x14ac:dyDescent="0.45">
      <c r="B472" s="1">
        <v>462</v>
      </c>
      <c r="C472" s="9">
        <f>($F$11-$G$11)*COS(2*PI()*$J$11*$I$11*B472/$L$11)+($G$11/$H$11)*COS((($F$11-$G$11)/$G$11)*2*PI()*$I$11*B472/$L$11)</f>
        <v>1</v>
      </c>
      <c r="D472" s="9">
        <f>($F$11-$G$11)*SIN(2*PI()*$K$11*$I$11*B472/$L$11)-($G$11/$H$11)*SIN((($F$11-$G$11)/$G$11)*2*PI()*$I$11*B472/$L$11)</f>
        <v>0</v>
      </c>
    </row>
    <row r="473" spans="2:4" x14ac:dyDescent="0.45">
      <c r="B473" s="1">
        <v>463</v>
      </c>
      <c r="C473" s="9">
        <f>($F$11-$G$11)*COS(2*PI()*$J$11*$I$11*B473/$L$11)+($G$11/$H$11)*COS((($F$11-$G$11)/$G$11)*2*PI()*$I$11*B473/$L$11)</f>
        <v>1</v>
      </c>
      <c r="D473" s="9">
        <f>($F$11-$G$11)*SIN(2*PI()*$K$11*$I$11*B473/$L$11)-($G$11/$H$11)*SIN((($F$11-$G$11)/$G$11)*2*PI()*$I$11*B473/$L$11)</f>
        <v>0</v>
      </c>
    </row>
    <row r="474" spans="2:4" x14ac:dyDescent="0.45">
      <c r="B474" s="1">
        <v>464</v>
      </c>
      <c r="C474" s="9">
        <f>($F$11-$G$11)*COS(2*PI()*$J$11*$I$11*B474/$L$11)+($G$11/$H$11)*COS((($F$11-$G$11)/$G$11)*2*PI()*$I$11*B474/$L$11)</f>
        <v>1</v>
      </c>
      <c r="D474" s="9">
        <f>($F$11-$G$11)*SIN(2*PI()*$K$11*$I$11*B474/$L$11)-($G$11/$H$11)*SIN((($F$11-$G$11)/$G$11)*2*PI()*$I$11*B474/$L$11)</f>
        <v>0</v>
      </c>
    </row>
    <row r="475" spans="2:4" x14ac:dyDescent="0.45">
      <c r="B475" s="1">
        <v>465</v>
      </c>
      <c r="C475" s="9">
        <f>($F$11-$G$11)*COS(2*PI()*$J$11*$I$11*B475/$L$11)+($G$11/$H$11)*COS((($F$11-$G$11)/$G$11)*2*PI()*$I$11*B475/$L$11)</f>
        <v>1</v>
      </c>
      <c r="D475" s="9">
        <f>($F$11-$G$11)*SIN(2*PI()*$K$11*$I$11*B475/$L$11)-($G$11/$H$11)*SIN((($F$11-$G$11)/$G$11)*2*PI()*$I$11*B475/$L$11)</f>
        <v>0</v>
      </c>
    </row>
    <row r="476" spans="2:4" x14ac:dyDescent="0.45">
      <c r="B476" s="1">
        <v>466</v>
      </c>
      <c r="C476" s="9">
        <f>($F$11-$G$11)*COS(2*PI()*$J$11*$I$11*B476/$L$11)+($G$11/$H$11)*COS((($F$11-$G$11)/$G$11)*2*PI()*$I$11*B476/$L$11)</f>
        <v>1</v>
      </c>
      <c r="D476" s="9">
        <f>($F$11-$G$11)*SIN(2*PI()*$K$11*$I$11*B476/$L$11)-($G$11/$H$11)*SIN((($F$11-$G$11)/$G$11)*2*PI()*$I$11*B476/$L$11)</f>
        <v>0</v>
      </c>
    </row>
    <row r="477" spans="2:4" x14ac:dyDescent="0.45">
      <c r="B477" s="1">
        <v>467</v>
      </c>
      <c r="C477" s="9">
        <f>($F$11-$G$11)*COS(2*PI()*$J$11*$I$11*B477/$L$11)+($G$11/$H$11)*COS((($F$11-$G$11)/$G$11)*2*PI()*$I$11*B477/$L$11)</f>
        <v>1</v>
      </c>
      <c r="D477" s="9">
        <f>($F$11-$G$11)*SIN(2*PI()*$K$11*$I$11*B477/$L$11)-($G$11/$H$11)*SIN((($F$11-$G$11)/$G$11)*2*PI()*$I$11*B477/$L$11)</f>
        <v>0</v>
      </c>
    </row>
    <row r="478" spans="2:4" x14ac:dyDescent="0.45">
      <c r="B478" s="1">
        <v>468</v>
      </c>
      <c r="C478" s="9">
        <f>($F$11-$G$11)*COS(2*PI()*$J$11*$I$11*B478/$L$11)+($G$11/$H$11)*COS((($F$11-$G$11)/$G$11)*2*PI()*$I$11*B478/$L$11)</f>
        <v>1</v>
      </c>
      <c r="D478" s="9">
        <f>($F$11-$G$11)*SIN(2*PI()*$K$11*$I$11*B478/$L$11)-($G$11/$H$11)*SIN((($F$11-$G$11)/$G$11)*2*PI()*$I$11*B478/$L$11)</f>
        <v>0</v>
      </c>
    </row>
    <row r="479" spans="2:4" x14ac:dyDescent="0.45">
      <c r="B479" s="1">
        <v>469</v>
      </c>
      <c r="C479" s="9">
        <f>($F$11-$G$11)*COS(2*PI()*$J$11*$I$11*B479/$L$11)+($G$11/$H$11)*COS((($F$11-$G$11)/$G$11)*2*PI()*$I$11*B479/$L$11)</f>
        <v>1</v>
      </c>
      <c r="D479" s="9">
        <f>($F$11-$G$11)*SIN(2*PI()*$K$11*$I$11*B479/$L$11)-($G$11/$H$11)*SIN((($F$11-$G$11)/$G$11)*2*PI()*$I$11*B479/$L$11)</f>
        <v>0</v>
      </c>
    </row>
    <row r="480" spans="2:4" x14ac:dyDescent="0.45">
      <c r="B480" s="1">
        <v>470</v>
      </c>
      <c r="C480" s="9">
        <f>($F$11-$G$11)*COS(2*PI()*$J$11*$I$11*B480/$L$11)+($G$11/$H$11)*COS((($F$11-$G$11)/$G$11)*2*PI()*$I$11*B480/$L$11)</f>
        <v>1</v>
      </c>
      <c r="D480" s="9">
        <f>($F$11-$G$11)*SIN(2*PI()*$K$11*$I$11*B480/$L$11)-($G$11/$H$11)*SIN((($F$11-$G$11)/$G$11)*2*PI()*$I$11*B480/$L$11)</f>
        <v>0</v>
      </c>
    </row>
    <row r="481" spans="2:4" x14ac:dyDescent="0.45">
      <c r="B481" s="1">
        <v>471</v>
      </c>
      <c r="C481" s="9">
        <f>($F$11-$G$11)*COS(2*PI()*$J$11*$I$11*B481/$L$11)+($G$11/$H$11)*COS((($F$11-$G$11)/$G$11)*2*PI()*$I$11*B481/$L$11)</f>
        <v>1</v>
      </c>
      <c r="D481" s="9">
        <f>($F$11-$G$11)*SIN(2*PI()*$K$11*$I$11*B481/$L$11)-($G$11/$H$11)*SIN((($F$11-$G$11)/$G$11)*2*PI()*$I$11*B481/$L$11)</f>
        <v>0</v>
      </c>
    </row>
    <row r="482" spans="2:4" x14ac:dyDescent="0.45">
      <c r="B482" s="1">
        <v>472</v>
      </c>
      <c r="C482" s="9">
        <f>($F$11-$G$11)*COS(2*PI()*$J$11*$I$11*B482/$L$11)+($G$11/$H$11)*COS((($F$11-$G$11)/$G$11)*2*PI()*$I$11*B482/$L$11)</f>
        <v>1</v>
      </c>
      <c r="D482" s="9">
        <f>($F$11-$G$11)*SIN(2*PI()*$K$11*$I$11*B482/$L$11)-($G$11/$H$11)*SIN((($F$11-$G$11)/$G$11)*2*PI()*$I$11*B482/$L$11)</f>
        <v>0</v>
      </c>
    </row>
    <row r="483" spans="2:4" x14ac:dyDescent="0.45">
      <c r="B483" s="1">
        <v>473</v>
      </c>
      <c r="C483" s="9">
        <f>($F$11-$G$11)*COS(2*PI()*$J$11*$I$11*B483/$L$11)+($G$11/$H$11)*COS((($F$11-$G$11)/$G$11)*2*PI()*$I$11*B483/$L$11)</f>
        <v>1</v>
      </c>
      <c r="D483" s="9">
        <f>($F$11-$G$11)*SIN(2*PI()*$K$11*$I$11*B483/$L$11)-($G$11/$H$11)*SIN((($F$11-$G$11)/$G$11)*2*PI()*$I$11*B483/$L$11)</f>
        <v>0</v>
      </c>
    </row>
    <row r="484" spans="2:4" x14ac:dyDescent="0.45">
      <c r="B484" s="1">
        <v>474</v>
      </c>
      <c r="C484" s="9">
        <f>($F$11-$G$11)*COS(2*PI()*$J$11*$I$11*B484/$L$11)+($G$11/$H$11)*COS((($F$11-$G$11)/$G$11)*2*PI()*$I$11*B484/$L$11)</f>
        <v>1</v>
      </c>
      <c r="D484" s="9">
        <f>($F$11-$G$11)*SIN(2*PI()*$K$11*$I$11*B484/$L$11)-($G$11/$H$11)*SIN((($F$11-$G$11)/$G$11)*2*PI()*$I$11*B484/$L$11)</f>
        <v>0</v>
      </c>
    </row>
    <row r="485" spans="2:4" x14ac:dyDescent="0.45">
      <c r="B485" s="1">
        <v>475</v>
      </c>
      <c r="C485" s="9">
        <f>($F$11-$G$11)*COS(2*PI()*$J$11*$I$11*B485/$L$11)+($G$11/$H$11)*COS((($F$11-$G$11)/$G$11)*2*PI()*$I$11*B485/$L$11)</f>
        <v>1</v>
      </c>
      <c r="D485" s="9">
        <f>($F$11-$G$11)*SIN(2*PI()*$K$11*$I$11*B485/$L$11)-($G$11/$H$11)*SIN((($F$11-$G$11)/$G$11)*2*PI()*$I$11*B485/$L$11)</f>
        <v>0</v>
      </c>
    </row>
    <row r="486" spans="2:4" x14ac:dyDescent="0.45">
      <c r="B486" s="1">
        <v>476</v>
      </c>
      <c r="C486" s="9">
        <f>($F$11-$G$11)*COS(2*PI()*$J$11*$I$11*B486/$L$11)+($G$11/$H$11)*COS((($F$11-$G$11)/$G$11)*2*PI()*$I$11*B486/$L$11)</f>
        <v>1</v>
      </c>
      <c r="D486" s="9">
        <f>($F$11-$G$11)*SIN(2*PI()*$K$11*$I$11*B486/$L$11)-($G$11/$H$11)*SIN((($F$11-$G$11)/$G$11)*2*PI()*$I$11*B486/$L$11)</f>
        <v>0</v>
      </c>
    </row>
    <row r="487" spans="2:4" x14ac:dyDescent="0.45">
      <c r="B487" s="1">
        <v>477</v>
      </c>
      <c r="C487" s="9">
        <f>($F$11-$G$11)*COS(2*PI()*$J$11*$I$11*B487/$L$11)+($G$11/$H$11)*COS((($F$11-$G$11)/$G$11)*2*PI()*$I$11*B487/$L$11)</f>
        <v>1</v>
      </c>
      <c r="D487" s="9">
        <f>($F$11-$G$11)*SIN(2*PI()*$K$11*$I$11*B487/$L$11)-($G$11/$H$11)*SIN((($F$11-$G$11)/$G$11)*2*PI()*$I$11*B487/$L$11)</f>
        <v>0</v>
      </c>
    </row>
    <row r="488" spans="2:4" x14ac:dyDescent="0.45">
      <c r="B488" s="1">
        <v>478</v>
      </c>
      <c r="C488" s="9">
        <f>($F$11-$G$11)*COS(2*PI()*$J$11*$I$11*B488/$L$11)+($G$11/$H$11)*COS((($F$11-$G$11)/$G$11)*2*PI()*$I$11*B488/$L$11)</f>
        <v>1</v>
      </c>
      <c r="D488" s="9">
        <f>($F$11-$G$11)*SIN(2*PI()*$K$11*$I$11*B488/$L$11)-($G$11/$H$11)*SIN((($F$11-$G$11)/$G$11)*2*PI()*$I$11*B488/$L$11)</f>
        <v>0</v>
      </c>
    </row>
    <row r="489" spans="2:4" x14ac:dyDescent="0.45">
      <c r="B489" s="1">
        <v>479</v>
      </c>
      <c r="C489" s="9">
        <f>($F$11-$G$11)*COS(2*PI()*$J$11*$I$11*B489/$L$11)+($G$11/$H$11)*COS((($F$11-$G$11)/$G$11)*2*PI()*$I$11*B489/$L$11)</f>
        <v>1</v>
      </c>
      <c r="D489" s="9">
        <f>($F$11-$G$11)*SIN(2*PI()*$K$11*$I$11*B489/$L$11)-($G$11/$H$11)*SIN((($F$11-$G$11)/$G$11)*2*PI()*$I$11*B489/$L$11)</f>
        <v>0</v>
      </c>
    </row>
    <row r="490" spans="2:4" x14ac:dyDescent="0.45">
      <c r="B490" s="1">
        <v>480</v>
      </c>
      <c r="C490" s="9">
        <f>($F$11-$G$11)*COS(2*PI()*$J$11*$I$11*B490/$L$11)+($G$11/$H$11)*COS((($F$11-$G$11)/$G$11)*2*PI()*$I$11*B490/$L$11)</f>
        <v>1</v>
      </c>
      <c r="D490" s="9">
        <f>($F$11-$G$11)*SIN(2*PI()*$K$11*$I$11*B490/$L$11)-($G$11/$H$11)*SIN((($F$11-$G$11)/$G$11)*2*PI()*$I$11*B490/$L$11)</f>
        <v>0</v>
      </c>
    </row>
    <row r="491" spans="2:4" x14ac:dyDescent="0.45">
      <c r="B491" s="1">
        <v>481</v>
      </c>
      <c r="C491" s="9">
        <f>($F$11-$G$11)*COS(2*PI()*$J$11*$I$11*B491/$L$11)+($G$11/$H$11)*COS((($F$11-$G$11)/$G$11)*2*PI()*$I$11*B491/$L$11)</f>
        <v>1</v>
      </c>
      <c r="D491" s="9">
        <f>($F$11-$G$11)*SIN(2*PI()*$K$11*$I$11*B491/$L$11)-($G$11/$H$11)*SIN((($F$11-$G$11)/$G$11)*2*PI()*$I$11*B491/$L$11)</f>
        <v>0</v>
      </c>
    </row>
    <row r="492" spans="2:4" x14ac:dyDescent="0.45">
      <c r="B492" s="1">
        <v>482</v>
      </c>
      <c r="C492" s="9">
        <f>($F$11-$G$11)*COS(2*PI()*$J$11*$I$11*B492/$L$11)+($G$11/$H$11)*COS((($F$11-$G$11)/$G$11)*2*PI()*$I$11*B492/$L$11)</f>
        <v>1</v>
      </c>
      <c r="D492" s="9">
        <f>($F$11-$G$11)*SIN(2*PI()*$K$11*$I$11*B492/$L$11)-($G$11/$H$11)*SIN((($F$11-$G$11)/$G$11)*2*PI()*$I$11*B492/$L$11)</f>
        <v>0</v>
      </c>
    </row>
    <row r="493" spans="2:4" x14ac:dyDescent="0.45">
      <c r="B493" s="1">
        <v>483</v>
      </c>
      <c r="C493" s="9">
        <f>($F$11-$G$11)*COS(2*PI()*$J$11*$I$11*B493/$L$11)+($G$11/$H$11)*COS((($F$11-$G$11)/$G$11)*2*PI()*$I$11*B493/$L$11)</f>
        <v>1</v>
      </c>
      <c r="D493" s="9">
        <f>($F$11-$G$11)*SIN(2*PI()*$K$11*$I$11*B493/$L$11)-($G$11/$H$11)*SIN((($F$11-$G$11)/$G$11)*2*PI()*$I$11*B493/$L$11)</f>
        <v>0</v>
      </c>
    </row>
    <row r="494" spans="2:4" x14ac:dyDescent="0.45">
      <c r="B494" s="1">
        <v>484</v>
      </c>
      <c r="C494" s="9">
        <f>($F$11-$G$11)*COS(2*PI()*$J$11*$I$11*B494/$L$11)+($G$11/$H$11)*COS((($F$11-$G$11)/$G$11)*2*PI()*$I$11*B494/$L$11)</f>
        <v>1</v>
      </c>
      <c r="D494" s="9">
        <f>($F$11-$G$11)*SIN(2*PI()*$K$11*$I$11*B494/$L$11)-($G$11/$H$11)*SIN((($F$11-$G$11)/$G$11)*2*PI()*$I$11*B494/$L$11)</f>
        <v>0</v>
      </c>
    </row>
    <row r="495" spans="2:4" x14ac:dyDescent="0.45">
      <c r="B495" s="1">
        <v>485</v>
      </c>
      <c r="C495" s="9">
        <f>($F$11-$G$11)*COS(2*PI()*$J$11*$I$11*B495/$L$11)+($G$11/$H$11)*COS((($F$11-$G$11)/$G$11)*2*PI()*$I$11*B495/$L$11)</f>
        <v>1</v>
      </c>
      <c r="D495" s="9">
        <f>($F$11-$G$11)*SIN(2*PI()*$K$11*$I$11*B495/$L$11)-($G$11/$H$11)*SIN((($F$11-$G$11)/$G$11)*2*PI()*$I$11*B495/$L$11)</f>
        <v>0</v>
      </c>
    </row>
    <row r="496" spans="2:4" x14ac:dyDescent="0.45">
      <c r="B496" s="1">
        <v>486</v>
      </c>
      <c r="C496" s="9">
        <f>($F$11-$G$11)*COS(2*PI()*$J$11*$I$11*B496/$L$11)+($G$11/$H$11)*COS((($F$11-$G$11)/$G$11)*2*PI()*$I$11*B496/$L$11)</f>
        <v>1</v>
      </c>
      <c r="D496" s="9">
        <f>($F$11-$G$11)*SIN(2*PI()*$K$11*$I$11*B496/$L$11)-($G$11/$H$11)*SIN((($F$11-$G$11)/$G$11)*2*PI()*$I$11*B496/$L$11)</f>
        <v>0</v>
      </c>
    </row>
    <row r="497" spans="2:4" x14ac:dyDescent="0.45">
      <c r="B497" s="1">
        <v>487</v>
      </c>
      <c r="C497" s="9">
        <f>($F$11-$G$11)*COS(2*PI()*$J$11*$I$11*B497/$L$11)+($G$11/$H$11)*COS((($F$11-$G$11)/$G$11)*2*PI()*$I$11*B497/$L$11)</f>
        <v>1</v>
      </c>
      <c r="D497" s="9">
        <f>($F$11-$G$11)*SIN(2*PI()*$K$11*$I$11*B497/$L$11)-($G$11/$H$11)*SIN((($F$11-$G$11)/$G$11)*2*PI()*$I$11*B497/$L$11)</f>
        <v>0</v>
      </c>
    </row>
    <row r="498" spans="2:4" x14ac:dyDescent="0.45">
      <c r="B498" s="1">
        <v>488</v>
      </c>
      <c r="C498" s="9">
        <f>($F$11-$G$11)*COS(2*PI()*$J$11*$I$11*B498/$L$11)+($G$11/$H$11)*COS((($F$11-$G$11)/$G$11)*2*PI()*$I$11*B498/$L$11)</f>
        <v>1</v>
      </c>
      <c r="D498" s="9">
        <f>($F$11-$G$11)*SIN(2*PI()*$K$11*$I$11*B498/$L$11)-($G$11/$H$11)*SIN((($F$11-$G$11)/$G$11)*2*PI()*$I$11*B498/$L$11)</f>
        <v>0</v>
      </c>
    </row>
    <row r="499" spans="2:4" x14ac:dyDescent="0.45">
      <c r="B499" s="1">
        <v>489</v>
      </c>
      <c r="C499" s="9">
        <f>($F$11-$G$11)*COS(2*PI()*$J$11*$I$11*B499/$L$11)+($G$11/$H$11)*COS((($F$11-$G$11)/$G$11)*2*PI()*$I$11*B499/$L$11)</f>
        <v>1</v>
      </c>
      <c r="D499" s="9">
        <f>($F$11-$G$11)*SIN(2*PI()*$K$11*$I$11*B499/$L$11)-($G$11/$H$11)*SIN((($F$11-$G$11)/$G$11)*2*PI()*$I$11*B499/$L$11)</f>
        <v>0</v>
      </c>
    </row>
    <row r="500" spans="2:4" x14ac:dyDescent="0.45">
      <c r="B500" s="1">
        <v>490</v>
      </c>
      <c r="C500" s="9">
        <f>($F$11-$G$11)*COS(2*PI()*$J$11*$I$11*B500/$L$11)+($G$11/$H$11)*COS((($F$11-$G$11)/$G$11)*2*PI()*$I$11*B500/$L$11)</f>
        <v>1</v>
      </c>
      <c r="D500" s="9">
        <f>($F$11-$G$11)*SIN(2*PI()*$K$11*$I$11*B500/$L$11)-($G$11/$H$11)*SIN((($F$11-$G$11)/$G$11)*2*PI()*$I$11*B500/$L$11)</f>
        <v>0</v>
      </c>
    </row>
    <row r="501" spans="2:4" x14ac:dyDescent="0.45">
      <c r="B501" s="1">
        <v>491</v>
      </c>
      <c r="C501" s="9">
        <f>($F$11-$G$11)*COS(2*PI()*$J$11*$I$11*B501/$L$11)+($G$11/$H$11)*COS((($F$11-$G$11)/$G$11)*2*PI()*$I$11*B501/$L$11)</f>
        <v>1</v>
      </c>
      <c r="D501" s="9">
        <f>($F$11-$G$11)*SIN(2*PI()*$K$11*$I$11*B501/$L$11)-($G$11/$H$11)*SIN((($F$11-$G$11)/$G$11)*2*PI()*$I$11*B501/$L$11)</f>
        <v>0</v>
      </c>
    </row>
    <row r="502" spans="2:4" x14ac:dyDescent="0.45">
      <c r="B502" s="1">
        <v>492</v>
      </c>
      <c r="C502" s="9">
        <f>($F$11-$G$11)*COS(2*PI()*$J$11*$I$11*B502/$L$11)+($G$11/$H$11)*COS((($F$11-$G$11)/$G$11)*2*PI()*$I$11*B502/$L$11)</f>
        <v>1</v>
      </c>
      <c r="D502" s="9">
        <f>($F$11-$G$11)*SIN(2*PI()*$K$11*$I$11*B502/$L$11)-($G$11/$H$11)*SIN((($F$11-$G$11)/$G$11)*2*PI()*$I$11*B502/$L$11)</f>
        <v>0</v>
      </c>
    </row>
    <row r="503" spans="2:4" x14ac:dyDescent="0.45">
      <c r="B503" s="1">
        <v>493</v>
      </c>
      <c r="C503" s="9">
        <f>($F$11-$G$11)*COS(2*PI()*$J$11*$I$11*B503/$L$11)+($G$11/$H$11)*COS((($F$11-$G$11)/$G$11)*2*PI()*$I$11*B503/$L$11)</f>
        <v>1</v>
      </c>
      <c r="D503" s="9">
        <f>($F$11-$G$11)*SIN(2*PI()*$K$11*$I$11*B503/$L$11)-($G$11/$H$11)*SIN((($F$11-$G$11)/$G$11)*2*PI()*$I$11*B503/$L$11)</f>
        <v>0</v>
      </c>
    </row>
    <row r="504" spans="2:4" x14ac:dyDescent="0.45">
      <c r="B504" s="1">
        <v>494</v>
      </c>
      <c r="C504" s="9">
        <f>($F$11-$G$11)*COS(2*PI()*$J$11*$I$11*B504/$L$11)+($G$11/$H$11)*COS((($F$11-$G$11)/$G$11)*2*PI()*$I$11*B504/$L$11)</f>
        <v>1</v>
      </c>
      <c r="D504" s="9">
        <f>($F$11-$G$11)*SIN(2*PI()*$K$11*$I$11*B504/$L$11)-($G$11/$H$11)*SIN((($F$11-$G$11)/$G$11)*2*PI()*$I$11*B504/$L$11)</f>
        <v>0</v>
      </c>
    </row>
    <row r="505" spans="2:4" x14ac:dyDescent="0.45">
      <c r="B505" s="1">
        <v>495</v>
      </c>
      <c r="C505" s="9">
        <f>($F$11-$G$11)*COS(2*PI()*$J$11*$I$11*B505/$L$11)+($G$11/$H$11)*COS((($F$11-$G$11)/$G$11)*2*PI()*$I$11*B505/$L$11)</f>
        <v>1</v>
      </c>
      <c r="D505" s="9">
        <f>($F$11-$G$11)*SIN(2*PI()*$K$11*$I$11*B505/$L$11)-($G$11/$H$11)*SIN((($F$11-$G$11)/$G$11)*2*PI()*$I$11*B505/$L$11)</f>
        <v>0</v>
      </c>
    </row>
    <row r="506" spans="2:4" x14ac:dyDescent="0.45">
      <c r="B506" s="1">
        <v>496</v>
      </c>
      <c r="C506" s="9">
        <f>($F$11-$G$11)*COS(2*PI()*$J$11*$I$11*B506/$L$11)+($G$11/$H$11)*COS((($F$11-$G$11)/$G$11)*2*PI()*$I$11*B506/$L$11)</f>
        <v>1</v>
      </c>
      <c r="D506" s="9">
        <f>($F$11-$G$11)*SIN(2*PI()*$K$11*$I$11*B506/$L$11)-($G$11/$H$11)*SIN((($F$11-$G$11)/$G$11)*2*PI()*$I$11*B506/$L$11)</f>
        <v>0</v>
      </c>
    </row>
    <row r="507" spans="2:4" x14ac:dyDescent="0.45">
      <c r="B507" s="1">
        <v>497</v>
      </c>
      <c r="C507" s="9">
        <f>($F$11-$G$11)*COS(2*PI()*$J$11*$I$11*B507/$L$11)+($G$11/$H$11)*COS((($F$11-$G$11)/$G$11)*2*PI()*$I$11*B507/$L$11)</f>
        <v>1</v>
      </c>
      <c r="D507" s="9">
        <f>($F$11-$G$11)*SIN(2*PI()*$K$11*$I$11*B507/$L$11)-($G$11/$H$11)*SIN((($F$11-$G$11)/$G$11)*2*PI()*$I$11*B507/$L$11)</f>
        <v>0</v>
      </c>
    </row>
    <row r="508" spans="2:4" x14ac:dyDescent="0.45">
      <c r="B508" s="1">
        <v>498</v>
      </c>
      <c r="C508" s="9">
        <f>($F$11-$G$11)*COS(2*PI()*$J$11*$I$11*B508/$L$11)+($G$11/$H$11)*COS((($F$11-$G$11)/$G$11)*2*PI()*$I$11*B508/$L$11)</f>
        <v>1</v>
      </c>
      <c r="D508" s="9">
        <f>($F$11-$G$11)*SIN(2*PI()*$K$11*$I$11*B508/$L$11)-($G$11/$H$11)*SIN((($F$11-$G$11)/$G$11)*2*PI()*$I$11*B508/$L$11)</f>
        <v>0</v>
      </c>
    </row>
    <row r="509" spans="2:4" x14ac:dyDescent="0.45">
      <c r="B509" s="1">
        <v>499</v>
      </c>
      <c r="C509" s="9">
        <f>($F$11-$G$11)*COS(2*PI()*$J$11*$I$11*B509/$L$11)+($G$11/$H$11)*COS((($F$11-$G$11)/$G$11)*2*PI()*$I$11*B509/$L$11)</f>
        <v>1</v>
      </c>
      <c r="D509" s="9">
        <f>($F$11-$G$11)*SIN(2*PI()*$K$11*$I$11*B509/$L$11)-($G$11/$H$11)*SIN((($F$11-$G$11)/$G$11)*2*PI()*$I$11*B509/$L$11)</f>
        <v>0</v>
      </c>
    </row>
    <row r="510" spans="2:4" ht="18.600000000000001" thickBot="1" x14ac:dyDescent="0.5">
      <c r="B510" s="3">
        <v>500</v>
      </c>
      <c r="C510" s="9">
        <f>($F$11-$G$11)*COS(2*PI()*$J$11*$I$11*B510/$L$11)+($G$11/$H$11)*COS((($F$11-$G$11)/$G$11)*2*PI()*$I$11*B510/$L$11)</f>
        <v>1</v>
      </c>
      <c r="D510" s="9">
        <f>($F$11-$G$11)*SIN(2*PI()*$K$11*$I$11*B510/$L$11)-($G$11/$H$11)*SIN((($F$11-$G$11)/$G$11)*2*PI()*$I$11*B510/$L$11)</f>
        <v>0</v>
      </c>
    </row>
    <row r="511" spans="2:4" x14ac:dyDescent="0.45">
      <c r="C511" s="22">
        <f>MAX(C9:D510)</f>
        <v>1</v>
      </c>
      <c r="D511" s="22">
        <f>C511</f>
        <v>1</v>
      </c>
    </row>
    <row r="512" spans="2:4" x14ac:dyDescent="0.45">
      <c r="C512" s="23">
        <f>C511</f>
        <v>1</v>
      </c>
      <c r="D512" s="23">
        <f>-D511</f>
        <v>-1</v>
      </c>
    </row>
    <row r="513" spans="3:4" x14ac:dyDescent="0.45">
      <c r="C513" s="23">
        <f>-C512</f>
        <v>-1</v>
      </c>
      <c r="D513" s="23">
        <f>D512</f>
        <v>-1</v>
      </c>
    </row>
    <row r="514" spans="3:4" ht="18.600000000000001" thickBot="1" x14ac:dyDescent="0.5">
      <c r="C514" s="24">
        <f>C513</f>
        <v>-1</v>
      </c>
      <c r="D514" s="24">
        <f>D511</f>
        <v>1</v>
      </c>
    </row>
  </sheetData>
  <mergeCells count="1">
    <mergeCell ref="J9:K9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演習問題１（円上の糸掛け）</vt:lpstr>
      <vt:lpstr>【解答】演習問題１（円上の糸掛け） </vt:lpstr>
      <vt:lpstr>演習問題２（螺旋）</vt:lpstr>
      <vt:lpstr>演習問題3（エピ・ハイポサイクロイド）</vt:lpstr>
      <vt:lpstr>演習問題4（リサージュ曲線）</vt:lpstr>
      <vt:lpstr>【解答】演習問題4（リサージュ曲線）</vt:lpstr>
      <vt:lpstr>付録（キメラカーブ）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k.okamoto</dc:creator>
  <cp:lastModifiedBy>k.okamoto</cp:lastModifiedBy>
  <dcterms:created xsi:type="dcterms:W3CDTF">2020-07-07T07:31:49Z</dcterms:created>
  <dcterms:modified xsi:type="dcterms:W3CDTF">2020-11-28T06:44:14Z</dcterms:modified>
</cp:coreProperties>
</file>